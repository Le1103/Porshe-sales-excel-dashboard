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E39438-1F27-4BE3-91C8-442645F052A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nilha1" sheetId="2" r:id="rId1"/>
    <sheet name="Planilha2" sheetId="4" r:id="rId2"/>
    <sheet name="Planilha3" sheetId="6" r:id="rId3"/>
    <sheet name="Sanitized" sheetId="1" r:id="rId4"/>
  </sheets>
  <definedNames>
    <definedName name="_xlnm._FilterDatabase" localSheetId="3" hidden="1">Sanitized!$B$1:$B$77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<sst xmlns="http://schemas.openxmlformats.org/spreadsheetml/2006/main" count="757" uniqueCount="381">
  <si>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</si>
  <si>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</si>
  <si>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</si>
  <si>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</si>
  <si>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</si>
  <si>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</si>
  <si>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</si>
  <si>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</si>
  <si>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</si>
  <si>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</si>
  <si>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</si>
  <si>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718 Cayman</t>
  </si>
  <si>
    <t>2022</t>
  </si>
  <si>
    <t>Credit Card</t>
  </si>
  <si>
    <t>Boston</t>
  </si>
  <si>
    <t>MA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</si>
  <si>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</si>
  <si>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</si>
  <si>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</si>
  <si>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</si>
  <si>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</si>
  <si>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</si>
  <si>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</si>
  <si>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</si>
  <si>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</si>
  <si>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</si>
  <si>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</si>
  <si>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</si>
  <si>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</si>
  <si>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</si>
  <si>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</si>
  <si>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</si>
  <si>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</si>
  <si>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In Transit</t>
  </si>
  <si>
    <t>Macan S</t>
  </si>
  <si>
    <t>2021</t>
  </si>
  <si>
    <t>Cash</t>
  </si>
  <si>
    <t>CO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</si>
  <si>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</si>
  <si>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</si>
  <si>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</si>
  <si>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</si>
  <si>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</si>
  <si>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</si>
  <si>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</si>
  <si>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</si>
  <si>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2024-08-06</t>
  </si>
  <si>
    <t>Ava Martinez</t>
  </si>
  <si>
    <t>Panamera 4</t>
  </si>
  <si>
    <t>14500</t>
  </si>
  <si>
    <t>Miami</t>
  </si>
  <si>
    <t>FL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</si>
  <si>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</si>
  <si>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</si>
  <si>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</si>
  <si>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</si>
  <si>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</si>
  <si>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</si>
  <si>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</si>
  <si>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</si>
  <si>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</si>
  <si>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Cayenne E-Hybrid</t>
  </si>
  <si>
    <t>San Diego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</si>
  <si>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</si>
  <si>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</si>
  <si>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</si>
  <si>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</si>
  <si>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</si>
  <si>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</si>
  <si>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</si>
  <si>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</si>
  <si>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Shipped</t>
  </si>
  <si>
    <t>2024-09-02</t>
  </si>
  <si>
    <t>Mia Hernandez</t>
  </si>
  <si>
    <t>Macan GTS</t>
  </si>
  <si>
    <t>3500</t>
  </si>
  <si>
    <t>Phoenix</t>
  </si>
  <si>
    <t>AZ</t>
  </si>
  <si>
    <t>2024-09-17</t>
  </si>
  <si>
    <t>James Lopez</t>
  </si>
  <si>
    <t>Taycan Turbo</t>
  </si>
  <si>
    <t>11</t>
  </si>
  <si>
    <t>ACH Payment</t>
  </si>
  <si>
    <t>Dallas</t>
  </si>
  <si>
    <t>911 GT3</t>
  </si>
  <si>
    <t>NV</t>
  </si>
  <si>
    <t>2024-05-11</t>
  </si>
  <si>
    <t>Benjamin Allen</t>
  </si>
  <si>
    <t>Panamera Turbo S</t>
  </si>
  <si>
    <t>19250</t>
  </si>
  <si>
    <t>San Jose</t>
  </si>
  <si>
    <t>2024-12-12</t>
  </si>
  <si>
    <t>Amelia King</t>
  </si>
  <si>
    <t>Cayenne Turbo GT</t>
  </si>
  <si>
    <t>2100</t>
  </si>
  <si>
    <t>Crypto Payment</t>
  </si>
  <si>
    <t>Houston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</si>
  <si>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</si>
  <si>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</si>
  <si>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</si>
  <si>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</si>
  <si>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</si>
  <si>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</si>
  <si>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</si>
  <si>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2025-01-06</t>
  </si>
  <si>
    <t>Harper Scott</t>
  </si>
  <si>
    <t>Macan</t>
  </si>
  <si>
    <t>33700</t>
  </si>
  <si>
    <t>Orlando</t>
  </si>
  <si>
    <t>900</t>
  </si>
  <si>
    <t>2025-02-14</t>
  </si>
  <si>
    <t>Evelyn Nguyen</t>
  </si>
  <si>
    <t>Taycan Cross Turismo</t>
  </si>
  <si>
    <t>7800</t>
  </si>
  <si>
    <t>Charlotte</t>
  </si>
  <si>
    <t>NC</t>
  </si>
  <si>
    <t>Cayenne S</t>
  </si>
  <si>
    <t>2025-03-21</t>
  </si>
  <si>
    <t>Abigail Carter</t>
  </si>
  <si>
    <t>911 Targa 4S</t>
  </si>
  <si>
    <t>2500</t>
  </si>
  <si>
    <t>Minneapolis</t>
  </si>
  <si>
    <t>MN</t>
  </si>
  <si>
    <t>2025-03-28</t>
  </si>
  <si>
    <t>Jack Mitchell</t>
  </si>
  <si>
    <t>Panamera</t>
  </si>
  <si>
    <t>49000</t>
  </si>
  <si>
    <t>Philadelphia</t>
  </si>
  <si>
    <t>PA</t>
  </si>
  <si>
    <t>2025-04-09</t>
  </si>
  <si>
    <t>Emily Perez</t>
  </si>
  <si>
    <t>Macan Electric</t>
  </si>
  <si>
    <t>2025</t>
  </si>
  <si>
    <t>San Antonio</t>
  </si>
  <si>
    <t>911 Dakar</t>
  </si>
  <si>
    <t>1050</t>
  </si>
  <si>
    <t>Awaiting Pickup</t>
  </si>
  <si>
    <t>2025-05-12</t>
  </si>
  <si>
    <t>Sofia Turner</t>
  </si>
  <si>
    <t>Taycan GTS</t>
  </si>
  <si>
    <t>6250</t>
  </si>
  <si>
    <t>Raleigh</t>
  </si>
  <si>
    <t>2025-06-18</t>
  </si>
  <si>
    <t>Mason Phillips</t>
  </si>
  <si>
    <t>Cayenne</t>
  </si>
  <si>
    <t>38400</t>
  </si>
  <si>
    <t>Detroit</t>
  </si>
  <si>
    <t>MI</t>
  </si>
  <si>
    <t>718 Cayman GT4 RS</t>
  </si>
  <si>
    <t>OH</t>
  </si>
  <si>
    <t>2025-07-07</t>
  </si>
  <si>
    <t>Logan Parker</t>
  </si>
  <si>
    <t>911 Carrera GTS</t>
  </si>
  <si>
    <t>13600</t>
  </si>
  <si>
    <t>Indianapolis</t>
  </si>
  <si>
    <t>IN</t>
  </si>
  <si>
    <t>2025-07-22</t>
  </si>
  <si>
    <t>Grace Evans</t>
  </si>
  <si>
    <t>Panamera 4 E-Hybrid</t>
  </si>
  <si>
    <t>8900</t>
  </si>
  <si>
    <t>Fort Worth</t>
  </si>
  <si>
    <t>2025-08-14</t>
  </si>
  <si>
    <t>Jacob Edwards</t>
  </si>
  <si>
    <t>Macan T</t>
  </si>
  <si>
    <t>21750</t>
  </si>
  <si>
    <t>Jacksonville</t>
  </si>
  <si>
    <t>2025-09-01</t>
  </si>
  <si>
    <t>Victoria Collins</t>
  </si>
  <si>
    <t>Taycan Turbo S</t>
  </si>
  <si>
    <t>Pending Review</t>
  </si>
  <si>
    <t>911 Carrera</t>
  </si>
  <si>
    <t>Tampa</t>
  </si>
  <si>
    <t>2025-09-18</t>
  </si>
  <si>
    <t>Chloe Bennett</t>
  </si>
  <si>
    <t>12200</t>
  </si>
  <si>
    <t>Sacramento</t>
  </si>
  <si>
    <t>2025-10-04</t>
  </si>
  <si>
    <t>Ryan-Cooper</t>
  </si>
  <si>
    <t>24100</t>
  </si>
  <si>
    <t>Cleveland</t>
  </si>
  <si>
    <t>2025-10-12</t>
  </si>
  <si>
    <t>Hannah Reed</t>
  </si>
  <si>
    <t>Taycan</t>
  </si>
  <si>
    <t>Milwaukee</t>
  </si>
  <si>
    <t>WI</t>
  </si>
  <si>
    <t>2025-10-29</t>
  </si>
  <si>
    <t>Dylan Parker</t>
  </si>
  <si>
    <t>Panamera 4S</t>
  </si>
  <si>
    <t>10</t>
  </si>
  <si>
    <t>Kansas City</t>
  </si>
  <si>
    <t>MO</t>
  </si>
  <si>
    <t>2025-02-11</t>
  </si>
  <si>
    <t>Lily Coleman</t>
  </si>
  <si>
    <t>31000</t>
  </si>
  <si>
    <t>Omaha</t>
  </si>
  <si>
    <t>NE</t>
  </si>
  <si>
    <t>2025-11-16</t>
  </si>
  <si>
    <t>Nathan Hughes</t>
  </si>
  <si>
    <t>911 Turbo</t>
  </si>
  <si>
    <t>2400</t>
  </si>
  <si>
    <t>Albuquerque</t>
  </si>
  <si>
    <t>NM</t>
  </si>
  <si>
    <t>2025-12-07</t>
  </si>
  <si>
    <t>Stella Brooks</t>
  </si>
  <si>
    <t>Virginia Beach</t>
  </si>
  <si>
    <t>VA</t>
  </si>
  <si>
    <t>2025-12-22</t>
  </si>
  <si>
    <t>Owen Bryant</t>
  </si>
  <si>
    <t>Panamera Turbo</t>
  </si>
  <si>
    <t>18400</t>
  </si>
  <si>
    <t>Colorado Springs</t>
  </si>
  <si>
    <t>2026-01-08</t>
  </si>
  <si>
    <t>Isaac Butler</t>
  </si>
  <si>
    <t>15000</t>
  </si>
  <si>
    <t>Bakersfield</t>
  </si>
  <si>
    <t>2026-01-15</t>
  </si>
  <si>
    <t>Leah Henderson</t>
  </si>
  <si>
    <t>19750</t>
  </si>
  <si>
    <t>Mesa</t>
  </si>
  <si>
    <t>2026-01-28</t>
  </si>
  <si>
    <t>Christian Bailey</t>
  </si>
  <si>
    <t>3200</t>
  </si>
  <si>
    <t>2026-02-03</t>
  </si>
  <si>
    <t>Audrey Russell</t>
  </si>
  <si>
    <t>27600</t>
  </si>
  <si>
    <t>Long Beach</t>
  </si>
  <si>
    <t>2026-02-19</t>
  </si>
  <si>
    <t>Scarlett Diaz</t>
  </si>
  <si>
    <t>52000</t>
  </si>
  <si>
    <t>Tulsa</t>
  </si>
  <si>
    <t>OK</t>
  </si>
  <si>
    <t>2026-02-25</t>
  </si>
  <si>
    <t>Eli Jenkins</t>
  </si>
  <si>
    <t>Cayenne Turbo</t>
  </si>
  <si>
    <t>11300</t>
  </si>
  <si>
    <t>Wichita</t>
  </si>
  <si>
    <t>KS</t>
  </si>
  <si>
    <t>2026-03-01</t>
  </si>
  <si>
    <t>Madison Powell</t>
  </si>
  <si>
    <t>New Orleans</t>
  </si>
  <si>
    <t>LA</t>
  </si>
  <si>
    <t>2026-03-14</t>
  </si>
  <si>
    <t>Adrian Sanders</t>
  </si>
  <si>
    <t>15900</t>
  </si>
  <si>
    <t>Honolulu</t>
  </si>
  <si>
    <t>HI</t>
  </si>
  <si>
    <t>2026-04-08</t>
  </si>
  <si>
    <t>Nolan Fisher</t>
  </si>
  <si>
    <t>40250</t>
  </si>
  <si>
    <t>Henderson</t>
  </si>
  <si>
    <t>Awaiting Review</t>
  </si>
  <si>
    <t>2026-04-21</t>
  </si>
  <si>
    <t>Gabriel Owens</t>
  </si>
  <si>
    <t>1400</t>
  </si>
  <si>
    <t>Riverside</t>
  </si>
  <si>
    <t>2026-04-29</t>
  </si>
  <si>
    <t>Victoria Hart</t>
  </si>
  <si>
    <t>12700</t>
  </si>
  <si>
    <t>Corpus Christi</t>
  </si>
  <si>
    <t>2026-05-05</t>
  </si>
  <si>
    <t>Julian Stone</t>
  </si>
  <si>
    <t>29800</t>
  </si>
  <si>
    <t>St. Louis</t>
  </si>
  <si>
    <t>2026-05-14</t>
  </si>
  <si>
    <t>Brooklyn Webb</t>
  </si>
  <si>
    <t>7500</t>
  </si>
  <si>
    <t>Pittsburgh</t>
  </si>
  <si>
    <t>2026-05-23</t>
  </si>
  <si>
    <t>Aaron Kim</t>
  </si>
  <si>
    <t>1950</t>
  </si>
  <si>
    <t>Cincinnati</t>
  </si>
  <si>
    <t>2026-06-02</t>
  </si>
  <si>
    <t>Claire Watson</t>
  </si>
  <si>
    <t>8800</t>
  </si>
  <si>
    <t>Anchorage</t>
  </si>
  <si>
    <t>AK</t>
  </si>
  <si>
    <t>2026-06-15</t>
  </si>
  <si>
    <t>Sebastian Brooks</t>
  </si>
  <si>
    <t>600</t>
  </si>
  <si>
    <t>Plano</t>
  </si>
  <si>
    <t>2026-07-07</t>
  </si>
  <si>
    <t>Miles Peterson</t>
  </si>
  <si>
    <t>36000</t>
  </si>
  <si>
    <t>Greensboro</t>
  </si>
  <si>
    <t>2026-07-20</t>
  </si>
  <si>
    <t>Skylar Rogers</t>
  </si>
  <si>
    <t>Lincoln</t>
  </si>
  <si>
    <t>Lucy Howard</t>
  </si>
  <si>
    <t>5872</t>
  </si>
  <si>
    <t>Chandler</t>
  </si>
  <si>
    <t>2026-08-18</t>
  </si>
  <si>
    <t>Everett Cox</t>
  </si>
  <si>
    <t>718 Boxster GTS</t>
  </si>
  <si>
    <t>13300</t>
  </si>
  <si>
    <t>Reno</t>
  </si>
  <si>
    <t>2026-08-31</t>
  </si>
  <si>
    <t>Maya Rivera</t>
  </si>
  <si>
    <t>20100</t>
  </si>
  <si>
    <t>Buffalo</t>
  </si>
  <si>
    <t>2026-09-09</t>
  </si>
  <si>
    <t>Connor Ward</t>
  </si>
  <si>
    <t>Durham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</si>
  <si>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</si>
  <si>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</si>
  <si>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</si>
  <si>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</si>
  <si>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</si>
  <si>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</si>
  <si>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</si>
  <si>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</si>
  <si>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</si>
  <si>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</si>
  <si>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</si>
  <si>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</si>
  <si>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</si>
  <si>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</si>
  <si>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</si>
  <si>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</si>
  <si>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</si>
  <si>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</si>
  <si>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</si>
  <si>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</si>
  <si>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</si>
  <si>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</si>
  <si>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</si>
  <si>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</si>
  <si>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</si>
  <si>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</si>
  <si>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</si>
  <si>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</si>
  <si>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</si>
  <si>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</si>
  <si>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</si>
  <si>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</si>
  <si>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</si>
  <si>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</si>
  <si>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</si>
  <si>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</si>
  <si>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</si>
  <si>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</si>
  <si>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</si>
  <si>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</si>
  <si>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</si>
  <si>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2027-01-29</t>
  </si>
  <si>
    <t>Harper Reed</t>
  </si>
  <si>
    <t>21400</t>
  </si>
  <si>
    <t>2027-02-11</t>
  </si>
  <si>
    <t>Tyler-Morris</t>
  </si>
  <si>
    <t>26300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</si>
  <si>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</si>
  <si>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</si>
  <si>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</si>
  <si>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</si>
  <si>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</si>
  <si>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</si>
  <si>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</si>
  <si>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</si>
  <si>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2027-05-12</t>
  </si>
  <si>
    <t>Ariana Price</t>
  </si>
  <si>
    <t>2027-05-27</t>
  </si>
  <si>
    <t>Owen Rivera</t>
  </si>
  <si>
    <t>13400</t>
  </si>
  <si>
    <t>San Francisco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</si>
  <si>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</si>
  <si>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</si>
  <si>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</si>
  <si>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</si>
  <si>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</si>
  <si>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</si>
  <si>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</si>
  <si>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</si>
  <si>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</si>
  <si>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</si>
  <si>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2027-09-19</t>
  </si>
  <si>
    <t>48000</t>
  </si>
  <si>
    <t>2027-09-25</t>
  </si>
  <si>
    <t>3300</t>
  </si>
  <si>
    <t>2027-10-01</t>
  </si>
  <si>
    <t>Rótulos de Linha</t>
  </si>
  <si>
    <t>Total Geral</t>
  </si>
  <si>
    <t>Soma de SalesPriceSanitized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</si>
</sst>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[porsche_Sales_Dashbord.xlsx]Planilha1!Tabela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Modelo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252376219962799E-2"/>
          <c:y val="0.27169095695647971"/>
          <c:w val="0.80755049308156857"/>
          <c:h val="0.3197535520258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Planilha1!$A$4:$A$41</c:f>
              <c:strCache>
                <c:ptCount val="37"/>
                <c:pt idx="0">
                  <c:v>718 Boxster</c:v>
                </c:pt>
                <c:pt idx="1">
                  <c:v>718 Boxster GTS</c:v>
                </c:pt>
                <c:pt idx="2">
                  <c:v>718 Cayman</c:v>
                </c:pt>
                <c:pt idx="3">
                  <c:v>718 Cayman GT4 RS</c:v>
                </c:pt>
                <c:pt idx="4">
                  <c:v>718 Cayman S</c:v>
                </c:pt>
                <c:pt idx="5">
                  <c:v>911 Carrera</c:v>
                </c:pt>
                <c:pt idx="6">
                  <c:v>911 Carrera Cabriolet</c:v>
                </c:pt>
                <c:pt idx="7">
                  <c:v>911 Carrera GTS</c:v>
                </c:pt>
                <c:pt idx="8">
                  <c:v>911 Carrera S</c:v>
                </c:pt>
                <c:pt idx="9">
                  <c:v>911 Dakar</c:v>
                </c:pt>
                <c:pt idx="10">
                  <c:v>911 GT3</c:v>
                </c:pt>
                <c:pt idx="11">
                  <c:v>911 Targa 4S</c:v>
                </c:pt>
                <c:pt idx="12">
                  <c:v>911 Turbo</c:v>
                </c:pt>
                <c:pt idx="13">
                  <c:v>911 Turbo S</c:v>
                </c:pt>
                <c:pt idx="14">
                  <c:v>Cayenne</c:v>
                </c:pt>
                <c:pt idx="15">
                  <c:v>Cayenne Coupe</c:v>
                </c:pt>
                <c:pt idx="16">
                  <c:v>Cayenne E-Hybrid</c:v>
                </c:pt>
                <c:pt idx="17">
                  <c:v>Cayenne S</c:v>
                </c:pt>
                <c:pt idx="18">
                  <c:v>Cayenne Turbo</c:v>
                </c:pt>
                <c:pt idx="19">
                  <c:v>Cayenne Turbo GT</c:v>
                </c:pt>
                <c:pt idx="20">
                  <c:v>Macan</c:v>
                </c:pt>
                <c:pt idx="21">
                  <c:v>Macan Electric</c:v>
                </c:pt>
                <c:pt idx="22">
                  <c:v>Macan GTS</c:v>
                </c:pt>
                <c:pt idx="23">
                  <c:v>Macan S</c:v>
                </c:pt>
                <c:pt idx="24">
                  <c:v>Macan T</c:v>
                </c:pt>
                <c:pt idx="25">
                  <c:v>Panamera</c:v>
                </c:pt>
                <c:pt idx="26">
                  <c:v>Panamera 4</c:v>
                </c:pt>
                <c:pt idx="27">
                  <c:v>Panamera 4 E-Hybrid</c:v>
                </c:pt>
                <c:pt idx="28">
                  <c:v>Panamera 4S</c:v>
                </c:pt>
                <c:pt idx="29">
                  <c:v>Panamera Turbo</c:v>
                </c:pt>
                <c:pt idx="30">
                  <c:v>Panamera Turbo S</c:v>
                </c:pt>
                <c:pt idx="31">
                  <c:v>Taycan</c:v>
                </c:pt>
                <c:pt idx="32">
                  <c:v>Taycan 4S</c:v>
                </c:pt>
                <c:pt idx="33">
                  <c:v>Taycan Cross Turismo</c:v>
                </c:pt>
                <c:pt idx="34">
                  <c:v>Taycan GTS</c:v>
                </c:pt>
                <c:pt idx="35">
                  <c:v>Taycan Turbo</c:v>
                </c:pt>
                <c:pt idx="36">
                  <c:v>Taycan Turbo S</c:v>
                </c:pt>
              </c:strCache>
            </c:strRef>
          </c:cat>
          <c:val>
            <c:numRef>
              <c:f>Planilha1!$B$4:$B$41</c:f>
              <c:numCache>
                <c:formatCode>General</c:formatCode>
                <c:ptCount val="37"/>
                <c:pt idx="0">
                  <c:v>219400</c:v>
                </c:pt>
                <c:pt idx="1">
                  <c:v>91500</c:v>
                </c:pt>
                <c:pt idx="2">
                  <c:v>148800</c:v>
                </c:pt>
                <c:pt idx="3">
                  <c:v>176400</c:v>
                </c:pt>
                <c:pt idx="4">
                  <c:v>82750</c:v>
                </c:pt>
                <c:pt idx="5">
                  <c:v>126900</c:v>
                </c:pt>
                <c:pt idx="6">
                  <c:v>259800</c:v>
                </c:pt>
                <c:pt idx="7">
                  <c:v>241650</c:v>
                </c:pt>
                <c:pt idx="8">
                  <c:v>200900</c:v>
                </c:pt>
                <c:pt idx="9">
                  <c:v>540600</c:v>
                </c:pt>
                <c:pt idx="10">
                  <c:v>224000</c:v>
                </c:pt>
                <c:pt idx="11">
                  <c:v>315250</c:v>
                </c:pt>
                <c:pt idx="12">
                  <c:v>198300</c:v>
                </c:pt>
                <c:pt idx="13">
                  <c:v>726300</c:v>
                </c:pt>
                <c:pt idx="14">
                  <c:v>239700</c:v>
                </c:pt>
                <c:pt idx="15">
                  <c:v>112750</c:v>
                </c:pt>
                <c:pt idx="16">
                  <c:v>283900</c:v>
                </c:pt>
                <c:pt idx="17">
                  <c:v>98200</c:v>
                </c:pt>
                <c:pt idx="18">
                  <c:v>146800</c:v>
                </c:pt>
                <c:pt idx="19">
                  <c:v>592800</c:v>
                </c:pt>
                <c:pt idx="20">
                  <c:v>185400</c:v>
                </c:pt>
                <c:pt idx="21">
                  <c:v>267500</c:v>
                </c:pt>
                <c:pt idx="22">
                  <c:v>191800</c:v>
                </c:pt>
                <c:pt idx="23">
                  <c:v>136550</c:v>
                </c:pt>
                <c:pt idx="24">
                  <c:v>228800</c:v>
                </c:pt>
                <c:pt idx="25">
                  <c:v>304400</c:v>
                </c:pt>
                <c:pt idx="26">
                  <c:v>205800</c:v>
                </c:pt>
                <c:pt idx="27">
                  <c:v>109250</c:v>
                </c:pt>
                <c:pt idx="28">
                  <c:v>231000</c:v>
                </c:pt>
                <c:pt idx="29">
                  <c:v>273500</c:v>
                </c:pt>
                <c:pt idx="30">
                  <c:v>266000</c:v>
                </c:pt>
                <c:pt idx="31">
                  <c:v>236800</c:v>
                </c:pt>
                <c:pt idx="32">
                  <c:v>381600</c:v>
                </c:pt>
                <c:pt idx="33">
                  <c:v>246400</c:v>
                </c:pt>
                <c:pt idx="34">
                  <c:v>287500</c:v>
                </c:pt>
                <c:pt idx="35">
                  <c:v>475700.5</c:v>
                </c:pt>
                <c:pt idx="36">
                  <c:v>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E-46FD-B9A7-C5782550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859231"/>
        <c:axId val="994928943"/>
      </c:barChart>
      <c:catAx>
        <c:axId val="9968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928943"/>
        <c:crosses val="autoZero"/>
        <c:auto val="1"/>
        <c:lblAlgn val="ctr"/>
        <c:lblOffset val="100"/>
        <c:noMultiLvlLbl val="0"/>
      </c:catAx>
      <c:valAx>
        <c:axId val="9949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8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[porsche_Sales_Dashbord.xlsx]Planilha2!Tabela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método de Pagamento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Planilha2!$A$4:$A$13</c:f>
              <c:strCache>
                <c:ptCount val="9"/>
                <c:pt idx="0">
                  <c:v>ACH Payment</c:v>
                </c:pt>
                <c:pt idx="1">
                  <c:v>Bank Transfer</c:v>
                </c:pt>
                <c:pt idx="2">
                  <c:v>Cash</c:v>
                </c:pt>
                <c:pt idx="3">
                  <c:v>Credit Card</c:v>
                </c:pt>
                <c:pt idx="4">
                  <c:v>Crypto Payment</c:v>
                </c:pt>
                <c:pt idx="5">
                  <c:v>Debit Card</c:v>
                </c:pt>
                <c:pt idx="6">
                  <c:v>Financing</c:v>
                </c:pt>
                <c:pt idx="7">
                  <c:v>Lease</c:v>
                </c:pt>
                <c:pt idx="8">
                  <c:v>Wire Transfer</c:v>
                </c:pt>
              </c:strCache>
            </c:strRef>
          </c:cat>
          <c:val>
            <c:numRef>
              <c:f>Planilha2!$B$4:$B$13</c:f>
              <c:numCache>
                <c:formatCode>General</c:formatCode>
                <c:ptCount val="9"/>
                <c:pt idx="0">
                  <c:v>543000.5</c:v>
                </c:pt>
                <c:pt idx="1">
                  <c:v>681000</c:v>
                </c:pt>
                <c:pt idx="2">
                  <c:v>987650</c:v>
                </c:pt>
                <c:pt idx="3">
                  <c:v>1692400</c:v>
                </c:pt>
                <c:pt idx="4">
                  <c:v>1083000</c:v>
                </c:pt>
                <c:pt idx="5">
                  <c:v>226400</c:v>
                </c:pt>
                <c:pt idx="6">
                  <c:v>622950</c:v>
                </c:pt>
                <c:pt idx="7">
                  <c:v>1254600</c:v>
                </c:pt>
                <c:pt idx="8">
                  <c:v>2395700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9-49BC-9AD4-0C422958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884079"/>
        <c:axId val="1261884495"/>
      </c:barChart>
      <c:catAx>
        <c:axId val="12618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884495"/>
        <c:crosses val="autoZero"/>
        <c:auto val="1"/>
        <c:lblAlgn val="ctr"/>
        <c:lblOffset val="100"/>
        <c:noMultiLvlLbl val="0"/>
      </c:catAx>
      <c:valAx>
        <c:axId val="12618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8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[porsche_Sales_Dashbord.xlsx]Planilha3!Tabela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ano de modelo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Planilha3!$A$4:$A$11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Planilha3!$B$4:$B$11</c:f>
              <c:numCache>
                <c:formatCode>General</c:formatCode>
                <c:ptCount val="7"/>
                <c:pt idx="0">
                  <c:v>377300</c:v>
                </c:pt>
                <c:pt idx="1">
                  <c:v>790050</c:v>
                </c:pt>
                <c:pt idx="2">
                  <c:v>1075350</c:v>
                </c:pt>
                <c:pt idx="3">
                  <c:v>2038600.5</c:v>
                </c:pt>
                <c:pt idx="4">
                  <c:v>2641400</c:v>
                </c:pt>
                <c:pt idx="5">
                  <c:v>2223400</c:v>
                </c:pt>
                <c:pt idx="6">
                  <c:v>340600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D-4021-8886-9BD624AB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135263"/>
        <c:axId val="1049134015"/>
      </c:barChart>
      <c:catAx>
        <c:axId val="10491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134015"/>
        <c:crosses val="autoZero"/>
        <c:auto val="1"/>
        <c:lblAlgn val="ctr"/>
        <c:lblOffset val="100"/>
        <c:noMultiLvlLbl val="0"/>
      </c:catAx>
      <c:valAx>
        <c:axId val="10491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13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161924</xdr:rowOff>
    </xdr:from>
    <xdr:to>
      <xdr:col>12</xdr:col>
      <xdr:colOff>371475</xdr:colOff>
      <xdr:row>19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393DFA-C097-4A90-B5D3-10B4618D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11</xdr:col>
      <xdr:colOff>38100</xdr:colOff>
      <xdr:row>16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DA491E-8FAB-4505-BD1B-7CE40216F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2</xdr:row>
      <xdr:rowOff>28575</xdr:rowOff>
    </xdr:from>
    <xdr:to>
      <xdr:col>10</xdr:col>
      <xdr:colOff>600074</xdr:colOff>
      <xdr:row>16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8D54D3-9432-4498-B21C-94C83BEBC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1.007564236112" createdVersion="7" refreshedVersion="7" minRefreshableVersion="3" recordCount="76" xr:uid="{A5E1EE3B-0B60-4DD9-A853-8E2C630DD077}">
  <cacheSource type="worksheet">
    <worksheetSource ref="A1:K77" sheet="Sanitized"/>
  </cacheSource>
  <cacheFields count="11">
    <cacheField name="sale_id" numFmtId="0">
      <sharedItems containsSemiMixedTypes="0" containsString="0" containsNumber="1" containsInteger="1" minValue="7" maxValue="105"/>
    </cacheField>
    <cacheField name="SaleDateSanitized" numFmtId="0">
      <sharedItems/>
    </cacheField>
    <cacheField name="customer_name" numFmtId="0">
      <sharedItems/>
    </cacheField>
    <cacheField name="PorscheModelSanitized" numFmtId="0">
      <sharedItems count="37">
        <s v="911 Turbo S"/>
        <s v="Cayenne Coupe"/>
        <s v="Taycan 4S"/>
        <s v="Panamera 4"/>
        <s v="911 Carrera S"/>
        <s v="718 Boxster"/>
        <s v="Macan GTS"/>
        <s v="Taycan Turbo"/>
        <s v="Panamera Turbo S"/>
        <s v="Cayenne Turbo GT"/>
        <s v="911 Carrera Cabriolet"/>
        <s v="Macan"/>
        <s v="Taycan Cross Turismo"/>
        <s v="911 Targa 4S"/>
        <s v="Panamera"/>
        <s v="Macan Electric"/>
        <s v="Taycan GTS"/>
        <s v="Cayenne"/>
        <s v="911 Carrera GTS"/>
        <s v="Panamera 4 E-Hybrid"/>
        <s v="Macan T"/>
        <s v="Taycan Turbo S"/>
        <s v="Cayenne S"/>
        <s v="Taycan"/>
        <s v="Panamera 4S"/>
        <s v="911 Turbo"/>
        <s v="Panamera Turbo"/>
        <s v="Cayenne E-Hybrid"/>
        <s v="718 Cayman"/>
        <s v="Cayenne Turbo"/>
        <s v="911 Dakar"/>
        <s v="Macan S"/>
        <s v="718 Cayman GT4 RS"/>
        <s v="718 Boxster GTS"/>
        <s v="718 Cayman S"/>
        <s v="911 GT3"/>
        <s v="911 Carrera"/>
      </sharedItems>
    </cacheField>
    <cacheField name="ModelYearSanitized" numFmtId="0">
      <sharedItems count="7">
        <s v="2024"/>
        <s v="2023"/>
        <s v="2020"/>
        <s v="2021"/>
        <s v="2022"/>
        <s v="2025"/>
        <s v="2026"/>
      </sharedItems>
    </cacheField>
    <cacheField name="SalesPriceSanitized" numFmtId="0">
      <sharedItems containsSemiMixedTypes="0" containsString="0" containsNumber="1" minValue="58900" maxValue="271700"/>
    </cacheField>
    <cacheField name="VehicleMileageSanitized" numFmtId="0">
      <sharedItems/>
    </cacheField>
    <cacheField name="PayMethodSanitized" numFmtId="0">
      <sharedItems count="9">
        <s v="Wire Transfer"/>
        <s v="Financing"/>
        <s v="Bank Transfer"/>
        <s v="Credit Card"/>
        <s v="Lease"/>
        <s v="Debit Card"/>
        <s v="ACH Payment"/>
        <s v="Cash"/>
        <s v="Crypto Payment"/>
      </sharedItems>
    </cacheField>
    <cacheField name="CitySanitized" numFmtId="0">
      <sharedItems/>
    </cacheField>
    <cacheField name="StateSanitized" numFmtId="0">
      <sharedItems/>
    </cacheField>
    <cacheField name="DeliveryStatusSanitiz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7"/>
    <s v="2024-03-14"/>
    <s v="SOPHIA Miller"/>
    <x v="0"/>
    <x v="0"/>
    <n v="235000"/>
    <s v="1200"/>
    <x v="0"/>
    <s v="Seattle"/>
    <s v="WA"/>
    <s v="Delivered"/>
  </r>
  <r>
    <n v="8"/>
    <s v="2024-04-18"/>
    <s v="Daniel-Jones"/>
    <x v="1"/>
    <x v="1"/>
    <n v="112750"/>
    <s v="6400"/>
    <x v="1"/>
    <s v="Austin"/>
    <s v="TX"/>
    <s v="In Transit"/>
  </r>
  <r>
    <n v="10"/>
    <s v="2024-05-22"/>
    <s v="Ethan Wilson"/>
    <x v="2"/>
    <x v="0"/>
    <n v="121000"/>
    <s v="0"/>
    <x v="2"/>
    <s v="Los Angeles"/>
    <s v="CA"/>
    <s v="Delivered"/>
  </r>
  <r>
    <n v="11"/>
    <s v="2024-08-06"/>
    <s v="Ava Martinez"/>
    <x v="3"/>
    <x v="1"/>
    <n v="104500"/>
    <s v="14500"/>
    <x v="3"/>
    <s v="Miami"/>
    <s v="FL"/>
    <s v="Cancelled"/>
  </r>
  <r>
    <n v="12"/>
    <s v="2024-07-11"/>
    <s v="Noah Davis"/>
    <x v="4"/>
    <x v="2"/>
    <n v="96300"/>
    <s v="41000"/>
    <x v="4"/>
    <s v="New York"/>
    <s v="NY"/>
    <s v="Delivered"/>
  </r>
  <r>
    <n v="14"/>
    <s v="2024-08-19"/>
    <s v="Liam Rodriguez"/>
    <x v="5"/>
    <x v="3"/>
    <n v="73500"/>
    <s v="22300"/>
    <x v="5"/>
    <s v="Chicago"/>
    <s v="IL"/>
    <s v="Shipped"/>
  </r>
  <r>
    <n v="15"/>
    <s v="2024-09-02"/>
    <s v="Mia Hernandez"/>
    <x v="6"/>
    <x v="0"/>
    <n v="95000"/>
    <s v="3500"/>
    <x v="1"/>
    <s v="Phoenix"/>
    <s v="AZ"/>
    <s v="In Transit"/>
  </r>
  <r>
    <n v="16"/>
    <s v="2024-09-17"/>
    <s v="James Lopez"/>
    <x v="7"/>
    <x v="1"/>
    <n v="153200.5"/>
    <s v="11"/>
    <x v="6"/>
    <s v="Dallas"/>
    <s v="TX"/>
    <s v="Delivered"/>
  </r>
  <r>
    <n v="18"/>
    <s v="2024-05-11"/>
    <s v="Benjamin Allen"/>
    <x v="8"/>
    <x v="4"/>
    <n v="132000"/>
    <s v="19250"/>
    <x v="7"/>
    <s v="San Jose"/>
    <s v="CA"/>
    <s v="Delivered"/>
  </r>
  <r>
    <n v="19"/>
    <s v="2024-12-12"/>
    <s v="Amelia King"/>
    <x v="9"/>
    <x v="0"/>
    <n v="188000"/>
    <s v="2100"/>
    <x v="8"/>
    <s v="Houston"/>
    <s v="TX"/>
    <s v="Awaiting Delivery"/>
  </r>
  <r>
    <n v="20"/>
    <s v="2024-12-25"/>
    <s v="Lucas Wright"/>
    <x v="10"/>
    <x v="1"/>
    <n v="127800"/>
    <s v="12000"/>
    <x v="3"/>
    <s v="Atlanta"/>
    <s v="GA"/>
    <s v="Delivered"/>
  </r>
  <r>
    <n v="21"/>
    <s v="2025-01-06"/>
    <s v="Harper Scott"/>
    <x v="11"/>
    <x v="3"/>
    <n v="58900"/>
    <s v="33700"/>
    <x v="2"/>
    <s v="Orlando"/>
    <s v="FL"/>
    <s v="Pending"/>
  </r>
  <r>
    <n v="23"/>
    <s v="2025-02-14"/>
    <s v="Evelyn Nguyen"/>
    <x v="12"/>
    <x v="1"/>
    <n v="118500"/>
    <s v="7800"/>
    <x v="0"/>
    <s v="Charlotte"/>
    <s v="NC"/>
    <s v="Delivered"/>
  </r>
  <r>
    <n v="25"/>
    <s v="2025-03-21"/>
    <s v="Abigail Carter"/>
    <x v="13"/>
    <x v="0"/>
    <n v="158750"/>
    <s v="2500"/>
    <x v="4"/>
    <s v="Minneapolis"/>
    <s v="MN"/>
    <s v="Delivered"/>
  </r>
  <r>
    <n v="26"/>
    <s v="2025-03-28"/>
    <s v="Jack Mitchell"/>
    <x v="14"/>
    <x v="2"/>
    <n v="72000"/>
    <s v="49000"/>
    <x v="2"/>
    <s v="Philadelphia"/>
    <s v="PA"/>
    <s v="Cancelled"/>
  </r>
  <r>
    <n v="27"/>
    <s v="2025-04-09"/>
    <s v="Emily Perez"/>
    <x v="15"/>
    <x v="5"/>
    <n v="86500"/>
    <s v="0"/>
    <x v="0"/>
    <s v="San Antonio"/>
    <s v="TX"/>
    <s v="Delivered"/>
  </r>
  <r>
    <n v="29"/>
    <s v="2025-05-12"/>
    <s v="Sofia Turner"/>
    <x v="16"/>
    <x v="1"/>
    <n v="139000"/>
    <s v="6250"/>
    <x v="1"/>
    <s v="Raleigh"/>
    <s v="NC"/>
    <s v="In Transit"/>
  </r>
  <r>
    <n v="30"/>
    <s v="2025-06-18"/>
    <s v="Mason Phillips"/>
    <x v="17"/>
    <x v="3"/>
    <n v="76800"/>
    <s v="38400"/>
    <x v="3"/>
    <s v="Detroit"/>
    <s v="MI"/>
    <s v="Delivered"/>
  </r>
  <r>
    <n v="32"/>
    <s v="2025-07-07"/>
    <s v="Logan Parker"/>
    <x v="18"/>
    <x v="4"/>
    <n v="119900"/>
    <s v="13600"/>
    <x v="7"/>
    <s v="Indianapolis"/>
    <s v="IN"/>
    <s v="Delivered"/>
  </r>
  <r>
    <n v="33"/>
    <s v="2025-07-22"/>
    <s v="Grace Evans"/>
    <x v="19"/>
    <x v="1"/>
    <n v="109250"/>
    <s v="8900"/>
    <x v="4"/>
    <s v="Fort Worth"/>
    <s v="TX"/>
    <s v="In Transit"/>
  </r>
  <r>
    <n v="34"/>
    <s v="2025-08-14"/>
    <s v="Jacob Edwards"/>
    <x v="20"/>
    <x v="4"/>
    <n v="82000"/>
    <s v="21750"/>
    <x v="0"/>
    <s v="Jacksonville"/>
    <s v="FL"/>
    <s v="Delivered"/>
  </r>
  <r>
    <n v="35"/>
    <s v="2025-09-01"/>
    <s v="Victoria Collins"/>
    <x v="21"/>
    <x v="5"/>
    <n v="214000"/>
    <s v="0"/>
    <x v="8"/>
    <s v="San Diego"/>
    <s v="CA"/>
    <s v="Pending Review"/>
  </r>
  <r>
    <n v="37"/>
    <s v="2025-09-18"/>
    <s v="Chloe Bennett"/>
    <x v="22"/>
    <x v="1"/>
    <n v="98200"/>
    <s v="12200"/>
    <x v="2"/>
    <s v="Sacramento"/>
    <s v="CA"/>
    <s v="Pending"/>
  </r>
  <r>
    <n v="38"/>
    <s v="2025-10-04"/>
    <s v="Ryan-Cooper"/>
    <x v="11"/>
    <x v="4"/>
    <n v="67500"/>
    <s v="24100"/>
    <x v="1"/>
    <s v="Cleveland"/>
    <s v="OH"/>
    <s v="Delivered"/>
  </r>
  <r>
    <n v="39"/>
    <s v="2025-10-12"/>
    <s v="Hannah Reed"/>
    <x v="23"/>
    <x v="5"/>
    <n v="116900"/>
    <s v="0"/>
    <x v="0"/>
    <s v="Milwaukee"/>
    <s v="WI"/>
    <s v="In Transit"/>
  </r>
  <r>
    <n v="40"/>
    <s v="2025-10-29"/>
    <s v="Dylan Parker"/>
    <x v="24"/>
    <x v="0"/>
    <n v="112000"/>
    <s v="10"/>
    <x v="7"/>
    <s v="Kansas City"/>
    <s v="MO"/>
    <s v="Delivered"/>
  </r>
  <r>
    <n v="41"/>
    <s v="2025-02-11"/>
    <s v="Lily Coleman"/>
    <x v="5"/>
    <x v="3"/>
    <n v="74000"/>
    <s v="31000"/>
    <x v="5"/>
    <s v="Omaha"/>
    <s v="NE"/>
    <s v="Cancelled"/>
  </r>
  <r>
    <n v="42"/>
    <s v="2025-11-16"/>
    <s v="Nathan Hughes"/>
    <x v="25"/>
    <x v="0"/>
    <n v="198300"/>
    <s v="2400"/>
    <x v="0"/>
    <s v="Albuquerque"/>
    <s v="NM"/>
    <s v="Awaiting Delivery"/>
  </r>
  <r>
    <n v="45"/>
    <s v="2025-12-07"/>
    <s v="Stella Brooks"/>
    <x v="2"/>
    <x v="5"/>
    <n v="129000"/>
    <s v="0"/>
    <x v="6"/>
    <s v="Virginia Beach"/>
    <s v="VA"/>
    <s v="In Transit"/>
  </r>
  <r>
    <n v="46"/>
    <s v="2025-12-22"/>
    <s v="Owen Bryant"/>
    <x v="26"/>
    <x v="4"/>
    <n v="136000"/>
    <s v="18400"/>
    <x v="3"/>
    <s v="Colorado Springs"/>
    <s v="CO"/>
    <s v="Delivered"/>
  </r>
  <r>
    <n v="48"/>
    <s v="2026-01-08"/>
    <s v="Isaac Butler"/>
    <x v="27"/>
    <x v="1"/>
    <n v="92800"/>
    <s v="15000"/>
    <x v="4"/>
    <s v="Bakersfield"/>
    <s v="CA"/>
    <s v="Delivered"/>
  </r>
  <r>
    <n v="49"/>
    <s v="2026-01-15"/>
    <s v="Leah Henderson"/>
    <x v="20"/>
    <x v="4"/>
    <n v="72400"/>
    <s v="19750"/>
    <x v="7"/>
    <s v="Mesa"/>
    <s v="AZ"/>
    <s v="Awaiting Pickup"/>
  </r>
  <r>
    <n v="50"/>
    <s v="2026-01-28"/>
    <s v="Christian Bailey"/>
    <x v="7"/>
    <x v="5"/>
    <n v="158500"/>
    <s v="3200"/>
    <x v="8"/>
    <s v="Atlanta"/>
    <s v="GA"/>
    <s v="Delivered"/>
  </r>
  <r>
    <n v="51"/>
    <s v="2026-02-03"/>
    <s v="Audrey Russell"/>
    <x v="28"/>
    <x v="3"/>
    <n v="69900"/>
    <s v="27600"/>
    <x v="2"/>
    <s v="Long Beach"/>
    <s v="CA"/>
    <s v="Pending"/>
  </r>
  <r>
    <n v="53"/>
    <s v="2026-02-19"/>
    <s v="Scarlett Diaz"/>
    <x v="14"/>
    <x v="2"/>
    <n v="71500"/>
    <s v="52000"/>
    <x v="0"/>
    <s v="Tulsa"/>
    <s v="OK"/>
    <s v="Delivered"/>
  </r>
  <r>
    <n v="54"/>
    <s v="2026-02-25"/>
    <s v="Eli Jenkins"/>
    <x v="29"/>
    <x v="1"/>
    <n v="146800"/>
    <s v="11300"/>
    <x v="3"/>
    <s v="Wichita"/>
    <s v="KS"/>
    <s v="Pending"/>
  </r>
  <r>
    <n v="55"/>
    <s v="2026-03-01"/>
    <s v="Madison Powell"/>
    <x v="15"/>
    <x v="5"/>
    <n v="89700"/>
    <s v="0"/>
    <x v="4"/>
    <s v="New Orleans"/>
    <s v="LA"/>
    <s v="Delivered"/>
  </r>
  <r>
    <n v="56"/>
    <s v="2026-03-14"/>
    <s v="Adrian Sanders"/>
    <x v="4"/>
    <x v="4"/>
    <n v="104600"/>
    <s v="15900"/>
    <x v="2"/>
    <s v="Honolulu"/>
    <s v="HI"/>
    <s v="Cancelled"/>
  </r>
  <r>
    <n v="58"/>
    <s v="2026-04-08"/>
    <s v="Nolan Fisher"/>
    <x v="17"/>
    <x v="3"/>
    <n v="78400"/>
    <s v="40250"/>
    <x v="7"/>
    <s v="Henderson"/>
    <s v="NV"/>
    <s v="Awaiting Review"/>
  </r>
  <r>
    <n v="60"/>
    <s v="2026-04-21"/>
    <s v="Gabriel Owens"/>
    <x v="30"/>
    <x v="0"/>
    <n v="268900"/>
    <s v="1400"/>
    <x v="3"/>
    <s v="Riverside"/>
    <s v="CA"/>
    <s v="Delivered"/>
  </r>
  <r>
    <n v="61"/>
    <s v="2026-04-29"/>
    <s v="Victoria Hart"/>
    <x v="3"/>
    <x v="1"/>
    <n v="101300"/>
    <s v="12700"/>
    <x v="0"/>
    <s v="Corpus Christi"/>
    <s v="TX"/>
    <s v="Pending"/>
  </r>
  <r>
    <n v="62"/>
    <s v="2026-05-05"/>
    <s v="Julian Stone"/>
    <x v="31"/>
    <x v="3"/>
    <n v="66750"/>
    <s v="29800"/>
    <x v="7"/>
    <s v="St. Louis"/>
    <s v="MO"/>
    <s v="Delivered"/>
  </r>
  <r>
    <n v="63"/>
    <s v="2026-05-14"/>
    <s v="Brooklyn Webb"/>
    <x v="12"/>
    <x v="0"/>
    <n v="127900"/>
    <s v="7500"/>
    <x v="4"/>
    <s v="Pittsburgh"/>
    <s v="PA"/>
    <s v="In Transit"/>
  </r>
  <r>
    <n v="64"/>
    <s v="2026-05-23"/>
    <s v="Aaron Kim"/>
    <x v="9"/>
    <x v="5"/>
    <n v="200000"/>
    <s v="1950"/>
    <x v="0"/>
    <s v="Cincinnati"/>
    <s v="OH"/>
    <s v="Delivered"/>
  </r>
  <r>
    <n v="65"/>
    <s v="2026-06-02"/>
    <s v="Claire Watson"/>
    <x v="10"/>
    <x v="1"/>
    <n v="132000"/>
    <s v="8800"/>
    <x v="8"/>
    <s v="Anchorage"/>
    <s v="AK"/>
    <s v="Pending Review"/>
  </r>
  <r>
    <n v="66"/>
    <s v="2026-06-15"/>
    <s v="Sebastian Brooks"/>
    <x v="32"/>
    <x v="0"/>
    <n v="176400"/>
    <s v="600"/>
    <x v="3"/>
    <s v="Plano"/>
    <s v="TX"/>
    <s v="Delivered"/>
  </r>
  <r>
    <n v="68"/>
    <s v="2026-07-07"/>
    <s v="Miles Peterson"/>
    <x v="11"/>
    <x v="3"/>
    <n v="59000"/>
    <s v="36000"/>
    <x v="1"/>
    <s v="Greensboro"/>
    <s v="NC"/>
    <s v="Awaiting Delivery"/>
  </r>
  <r>
    <n v="69"/>
    <s v="2026-07-20"/>
    <s v="Skylar Rogers"/>
    <x v="21"/>
    <x v="5"/>
    <n v="218000"/>
    <s v="0"/>
    <x v="0"/>
    <s v="Lincoln"/>
    <s v="NE"/>
    <s v="Pending"/>
  </r>
  <r>
    <n v="71"/>
    <s v="2026-04-08"/>
    <s v="Lucy Howard"/>
    <x v="18"/>
    <x v="0"/>
    <n v="121750"/>
    <s v="5872"/>
    <x v="3"/>
    <s v="Chandler"/>
    <s v="AZ"/>
    <s v="Delivered"/>
  </r>
  <r>
    <n v="72"/>
    <s v="2026-08-18"/>
    <s v="Everett Cox"/>
    <x v="33"/>
    <x v="1"/>
    <n v="91500"/>
    <s v="13300"/>
    <x v="4"/>
    <s v="Reno"/>
    <s v="NV"/>
    <s v="Shipped"/>
  </r>
  <r>
    <n v="73"/>
    <s v="2026-08-31"/>
    <s v="Maya Rivera"/>
    <x v="8"/>
    <x v="4"/>
    <n v="134000"/>
    <s v="20100"/>
    <x v="0"/>
    <s v="Buffalo"/>
    <s v="NY"/>
    <s v="In Transit"/>
  </r>
  <r>
    <n v="74"/>
    <s v="2026-09-09"/>
    <s v="Connor Ward"/>
    <x v="6"/>
    <x v="0"/>
    <n v="96800"/>
    <s v="0"/>
    <x v="6"/>
    <s v="Durham"/>
    <s v="NC"/>
    <s v="Delivered"/>
  </r>
  <r>
    <n v="75"/>
    <s v="2026-09-17"/>
    <s v="Eliana Bell"/>
    <x v="2"/>
    <x v="5"/>
    <n v="131600"/>
    <s v="2900"/>
    <x v="0"/>
    <s v="Laredo"/>
    <s v="TX"/>
    <s v="Pending Approval"/>
  </r>
  <r>
    <n v="76"/>
    <s v="2026-09-28"/>
    <s v="Cameron Murphy"/>
    <x v="27"/>
    <x v="1"/>
    <n v="94300"/>
    <s v="13100"/>
    <x v="7"/>
    <s v="Madison"/>
    <s v="WI"/>
    <s v="Delivered"/>
  </r>
  <r>
    <n v="77"/>
    <s v="2026-10-06"/>
    <s v="Ariana Cook"/>
    <x v="0"/>
    <x v="5"/>
    <n v="242000"/>
    <s v="1100"/>
    <x v="8"/>
    <s v="Lubbock"/>
    <s v="TX"/>
    <s v="Awaiting Pickup"/>
  </r>
  <r>
    <n v="78"/>
    <s v="2026-10-16"/>
    <s v="Wesley Morgan"/>
    <x v="34"/>
    <x v="4"/>
    <n v="82750"/>
    <s v="22500"/>
    <x v="3"/>
    <s v="Toledo"/>
    <s v="OH"/>
    <s v="Cancelled"/>
  </r>
  <r>
    <n v="79"/>
    <s v="2026-10-29"/>
    <s v="Naomi Peterson"/>
    <x v="15"/>
    <x v="6"/>
    <n v="91300"/>
    <s v="0"/>
    <x v="0"/>
    <s v="Irvine"/>
    <s v="CA"/>
    <s v="Delivered"/>
  </r>
  <r>
    <n v="80"/>
    <s v="2026-11-03"/>
    <s v="Jason Perry"/>
    <x v="14"/>
    <x v="3"/>
    <n v="79900"/>
    <s v="44800"/>
    <x v="1"/>
    <s v="Garland"/>
    <s v="TX"/>
    <s v="Pending"/>
  </r>
  <r>
    <n v="82"/>
    <s v="2026-12-11"/>
    <s v="Hazel Long"/>
    <x v="13"/>
    <x v="1"/>
    <n v="156500"/>
    <s v="4200"/>
    <x v="7"/>
    <s v="Chesapeake"/>
    <s v="VA"/>
    <s v="Delivered"/>
  </r>
  <r>
    <n v="83"/>
    <s v="2026-12-24"/>
    <s v="Easton Bailey"/>
    <x v="23"/>
    <x v="5"/>
    <n v="119900"/>
    <s v="1250"/>
    <x v="4"/>
    <s v="Scottsdale"/>
    <s v="AZ"/>
    <s v="Pending"/>
  </r>
  <r>
    <n v="85"/>
    <s v="2026-12-28"/>
    <s v="Colton Richardson"/>
    <x v="35"/>
    <x v="0"/>
    <n v="224000"/>
    <s v="3000"/>
    <x v="0"/>
    <s v="Boise"/>
    <s v="ID"/>
    <s v="Awaiting Delivery"/>
  </r>
  <r>
    <n v="86"/>
    <s v="2027-01-15"/>
    <s v="Mason Stewart"/>
    <x v="36"/>
    <x v="0"/>
    <n v="126900"/>
    <s v="7200"/>
    <x v="3"/>
    <s v="Orlando"/>
    <s v="FL"/>
    <s v="Delivered"/>
  </r>
  <r>
    <n v="87"/>
    <s v="2027-01-29"/>
    <s v="Harper Reed"/>
    <x v="17"/>
    <x v="1"/>
    <n v="84500"/>
    <s v="21400"/>
    <x v="2"/>
    <s v="San Jose"/>
    <s v="CA"/>
    <s v="Pending"/>
  </r>
  <r>
    <n v="88"/>
    <s v="2027-02-11"/>
    <s v="Tyler-Morris"/>
    <x v="31"/>
    <x v="4"/>
    <n v="69800"/>
    <s v="26300"/>
    <x v="1"/>
    <s v="Tampa"/>
    <s v="FL"/>
    <s v="Delivered"/>
  </r>
  <r>
    <n v="90"/>
    <s v="2027-03-05"/>
    <s v="Brandon Parker"/>
    <x v="14"/>
    <x v="3"/>
    <n v="81000"/>
    <s v="42"/>
    <x v="7"/>
    <s v="Austin"/>
    <s v="TX"/>
    <s v="Delivered"/>
  </r>
  <r>
    <n v="91"/>
    <s v="2027-03-18"/>
    <s v="Lauren Foster"/>
    <x v="28"/>
    <x v="1"/>
    <n v="78900"/>
    <s v="17500"/>
    <x v="5"/>
    <s v="Seattle"/>
    <s v="WA"/>
    <s v="Cancelled"/>
  </r>
  <r>
    <n v="92"/>
    <s v="2027-04-02"/>
    <s v="Adam Hughes"/>
    <x v="0"/>
    <x v="6"/>
    <n v="249300"/>
    <s v="900"/>
    <x v="0"/>
    <s v="Boston"/>
    <s v="MA"/>
    <s v="Awaiting Delivery"/>
  </r>
  <r>
    <n v="95"/>
    <s v="2027-05-12"/>
    <s v="Ariana Price"/>
    <x v="7"/>
    <x v="5"/>
    <n v="164000"/>
    <s v="0"/>
    <x v="6"/>
    <s v="Dallas"/>
    <s v="TX"/>
    <s v="In Transit"/>
  </r>
  <r>
    <n v="96"/>
    <s v="2027-05-27"/>
    <s v="Owen Rivera"/>
    <x v="24"/>
    <x v="0"/>
    <n v="119000"/>
    <s v="13400"/>
    <x v="3"/>
    <s v="San Francisco"/>
    <s v="CA"/>
    <s v="Delivered"/>
  </r>
  <r>
    <n v="98"/>
    <s v="2027-06-18"/>
    <s v="Isaac Turner"/>
    <x v="27"/>
    <x v="1"/>
    <n v="96800"/>
    <s v="14000"/>
    <x v="4"/>
    <s v="Charlotte"/>
    <s v="NC"/>
    <s v="Delivered"/>
  </r>
  <r>
    <n v="99"/>
    <s v="2027-07-03"/>
    <s v="Leah Scott"/>
    <x v="20"/>
    <x v="4"/>
    <n v="74400"/>
    <s v="20750"/>
    <x v="7"/>
    <s v="Mesa"/>
    <s v="AZ"/>
    <s v="Awaiting Pickup"/>
  </r>
  <r>
    <n v="100"/>
    <s v="2027-07-22"/>
    <s v="Christian Bailey"/>
    <x v="16"/>
    <x v="5"/>
    <n v="148500"/>
    <s v="5200"/>
    <x v="8"/>
    <s v="Atlanta"/>
    <s v="GA"/>
    <s v="Delivered"/>
  </r>
  <r>
    <n v="101"/>
    <s v="2027-08-08"/>
    <s v="Audrey Russell"/>
    <x v="5"/>
    <x v="3"/>
    <n v="71900"/>
    <s v="29600"/>
    <x v="2"/>
    <s v="Long Beach"/>
    <s v="CA"/>
    <s v="Pending"/>
  </r>
  <r>
    <n v="103"/>
    <s v="2027-09-19"/>
    <s v="Scarlett Diaz"/>
    <x v="26"/>
    <x v="2"/>
    <n v="137500"/>
    <s v="48000"/>
    <x v="0"/>
    <s v="Tulsa"/>
    <s v="OK"/>
    <s v="Delivered"/>
  </r>
  <r>
    <n v="104"/>
    <s v="2027-09-25"/>
    <s v="Eli Jenkins"/>
    <x v="9"/>
    <x v="5"/>
    <n v="204800"/>
    <s v="3300"/>
    <x v="3"/>
    <s v="Wichita"/>
    <s v="KS"/>
    <s v="Pending"/>
  </r>
  <r>
    <n v="105"/>
    <s v="2027-10-01"/>
    <s v="Madison Powell"/>
    <x v="30"/>
    <x v="0"/>
    <n v="271700"/>
    <s v="1050"/>
    <x v="4"/>
    <s v="New Orleans"/>
    <s v="LA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75B9C-193C-4A02-9AC7-7A2C94AD21FC}" name="Tabela dinâ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41" firstHeaderRow="1" firstDataRow="1" firstDataCol="1"/>
  <pivotFields count="11">
    <pivotField showAll="0"/>
    <pivotField showAll="0"/>
    <pivotField showAll="0"/>
    <pivotField axis="axisRow" showAll="0">
      <items count="38">
        <item x="5"/>
        <item x="33"/>
        <item x="28"/>
        <item x="32"/>
        <item x="34"/>
        <item x="36"/>
        <item x="10"/>
        <item x="18"/>
        <item x="4"/>
        <item x="30"/>
        <item x="35"/>
        <item x="13"/>
        <item x="25"/>
        <item x="0"/>
        <item x="17"/>
        <item x="1"/>
        <item x="27"/>
        <item x="22"/>
        <item x="29"/>
        <item x="9"/>
        <item x="11"/>
        <item x="15"/>
        <item x="6"/>
        <item x="31"/>
        <item x="20"/>
        <item x="14"/>
        <item x="3"/>
        <item x="19"/>
        <item x="24"/>
        <item x="26"/>
        <item x="8"/>
        <item x="23"/>
        <item x="2"/>
        <item x="12"/>
        <item x="16"/>
        <item x="7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oma de SalesPriceSanitized" fld="5" baseField="3" baseItem="1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B0BF0-49D3-463A-AEE4-B394D83BA00D}" name="Tabela dinâmica4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13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0">
        <item x="6"/>
        <item x="2"/>
        <item x="7"/>
        <item x="3"/>
        <item x="8"/>
        <item x="5"/>
        <item x="1"/>
        <item x="4"/>
        <item x="0"/>
        <item t="default"/>
      </items>
    </pivotField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SalesPriceSanitize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5EDDE-EFB5-4634-96FD-5374C3FD97B2}" name="Tabela dinâmica7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8">
        <item x="2"/>
        <item x="3"/>
        <item x="4"/>
        <item x="1"/>
        <item x="0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SalesPriceSanitize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9A43-288D-457C-9FD0-4D75D6AEB735}">
  <dimension ref="A3:B41"/>
  <sheetViews>
    <sheetView topLeftCell="B1" workbookViewId="0">
      <selection activeCell="C1" sqref="C1:E1048576"/>
    </sheetView>
  </sheetViews>
  <sheetFormatPr defaultRowHeight="15" x14ac:dyDescent="0.25"/>
  <cols>
    <col min="1" max="1" width="20" bestFit="1" customWidth="1"/>
    <col min="2" max="2" width="26.7109375" bestFit="1" customWidth="1"/>
  </cols>
  <sheetData>
    <row r="3" spans="1:2" x14ac:dyDescent="0.25">
      <c r="A3" s="3" t="s">
        <v>378</v>
      </c>
      <c r="B3" t="s">
        <v>380</v>
      </c>
    </row>
    <row r="4" spans="1:2" x14ac:dyDescent="0.25">
      <c r="A4" s="4" t="s">
        <v>66</v>
      </c>
      <c r="B4" s="5">
        <v>219400</v>
      </c>
    </row>
    <row r="5" spans="1:2" x14ac:dyDescent="0.25">
      <c r="A5" s="4" t="s">
        <v>292</v>
      </c>
      <c r="B5" s="5">
        <v>91500</v>
      </c>
    </row>
    <row r="6" spans="1:2" x14ac:dyDescent="0.25">
      <c r="A6" s="4" t="s">
        <v>11</v>
      </c>
      <c r="B6" s="5">
        <v>148800</v>
      </c>
    </row>
    <row r="7" spans="1:2" x14ac:dyDescent="0.25">
      <c r="A7" s="4" t="s">
        <v>148</v>
      </c>
      <c r="B7" s="5">
        <v>176400</v>
      </c>
    </row>
    <row r="8" spans="1:2" x14ac:dyDescent="0.25">
      <c r="A8" s="4" t="s">
        <v>316</v>
      </c>
      <c r="B8" s="5">
        <v>82750</v>
      </c>
    </row>
    <row r="9" spans="1:2" x14ac:dyDescent="0.25">
      <c r="A9" s="4" t="s">
        <v>170</v>
      </c>
      <c r="B9" s="5">
        <v>126900</v>
      </c>
    </row>
    <row r="10" spans="1:2" x14ac:dyDescent="0.25">
      <c r="A10" s="4" t="s">
        <v>100</v>
      </c>
      <c r="B10" s="5">
        <v>259800</v>
      </c>
    </row>
    <row r="11" spans="1:2" x14ac:dyDescent="0.25">
      <c r="A11" s="4" t="s">
        <v>152</v>
      </c>
      <c r="B11" s="5">
        <v>241650</v>
      </c>
    </row>
    <row r="12" spans="1:2" x14ac:dyDescent="0.25">
      <c r="A12" s="4" t="s">
        <v>55</v>
      </c>
      <c r="B12" s="5">
        <v>200900</v>
      </c>
    </row>
    <row r="13" spans="1:2" x14ac:dyDescent="0.25">
      <c r="A13" s="4" t="s">
        <v>134</v>
      </c>
      <c r="B13" s="5">
        <v>540600</v>
      </c>
    </row>
    <row r="14" spans="1:2" x14ac:dyDescent="0.25">
      <c r="A14" s="4" t="s">
        <v>84</v>
      </c>
      <c r="B14" s="5">
        <v>224000</v>
      </c>
    </row>
    <row r="15" spans="1:2" x14ac:dyDescent="0.25">
      <c r="A15" s="4" t="s">
        <v>119</v>
      </c>
      <c r="B15" s="5">
        <v>315250</v>
      </c>
    </row>
    <row r="16" spans="1:2" x14ac:dyDescent="0.25">
      <c r="A16" s="4" t="s">
        <v>198</v>
      </c>
      <c r="B16" s="5">
        <v>198300</v>
      </c>
    </row>
    <row r="17" spans="1:2" x14ac:dyDescent="0.25">
      <c r="A17" s="4" t="s">
        <v>19</v>
      </c>
      <c r="B17" s="5">
        <v>726300</v>
      </c>
    </row>
    <row r="18" spans="1:2" x14ac:dyDescent="0.25">
      <c r="A18" s="4" t="s">
        <v>144</v>
      </c>
      <c r="B18" s="5">
        <v>239700</v>
      </c>
    </row>
    <row r="19" spans="1:2" x14ac:dyDescent="0.25">
      <c r="A19" s="4" t="s">
        <v>27</v>
      </c>
      <c r="B19" s="5">
        <v>112750</v>
      </c>
    </row>
    <row r="20" spans="1:2" x14ac:dyDescent="0.25">
      <c r="A20" s="4" t="s">
        <v>61</v>
      </c>
      <c r="B20" s="5">
        <v>283900</v>
      </c>
    </row>
    <row r="21" spans="1:2" x14ac:dyDescent="0.25">
      <c r="A21" s="4" t="s">
        <v>116</v>
      </c>
      <c r="B21" s="5">
        <v>98200</v>
      </c>
    </row>
    <row r="22" spans="1:2" x14ac:dyDescent="0.25">
      <c r="A22" s="4" t="s">
        <v>233</v>
      </c>
      <c r="B22" s="5">
        <v>146800</v>
      </c>
    </row>
    <row r="23" spans="1:2" x14ac:dyDescent="0.25">
      <c r="A23" s="4" t="s">
        <v>93</v>
      </c>
      <c r="B23" s="5">
        <v>592800</v>
      </c>
    </row>
    <row r="24" spans="1:2" x14ac:dyDescent="0.25">
      <c r="A24" s="4" t="s">
        <v>106</v>
      </c>
      <c r="B24" s="5">
        <v>185400</v>
      </c>
    </row>
    <row r="25" spans="1:2" x14ac:dyDescent="0.25">
      <c r="A25" s="4" t="s">
        <v>131</v>
      </c>
      <c r="B25" s="5">
        <v>267500</v>
      </c>
    </row>
    <row r="26" spans="1:2" x14ac:dyDescent="0.25">
      <c r="A26" s="4" t="s">
        <v>74</v>
      </c>
      <c r="B26" s="5">
        <v>191800</v>
      </c>
    </row>
    <row r="27" spans="1:2" x14ac:dyDescent="0.25">
      <c r="A27" s="4" t="s">
        <v>34</v>
      </c>
      <c r="B27" s="5">
        <v>136550</v>
      </c>
    </row>
    <row r="28" spans="1:2" x14ac:dyDescent="0.25">
      <c r="A28" s="4" t="s">
        <v>163</v>
      </c>
      <c r="B28" s="5">
        <v>228800</v>
      </c>
    </row>
    <row r="29" spans="1:2" x14ac:dyDescent="0.25">
      <c r="A29" s="4" t="s">
        <v>125</v>
      </c>
      <c r="B29" s="5">
        <v>304400</v>
      </c>
    </row>
    <row r="30" spans="1:2" x14ac:dyDescent="0.25">
      <c r="A30" s="4" t="s">
        <v>48</v>
      </c>
      <c r="B30" s="5">
        <v>205800</v>
      </c>
    </row>
    <row r="31" spans="1:2" x14ac:dyDescent="0.25">
      <c r="A31" s="4" t="s">
        <v>158</v>
      </c>
      <c r="B31" s="5">
        <v>109250</v>
      </c>
    </row>
    <row r="32" spans="1:2" x14ac:dyDescent="0.25">
      <c r="A32" s="4" t="s">
        <v>187</v>
      </c>
      <c r="B32" s="5">
        <v>231000</v>
      </c>
    </row>
    <row r="33" spans="1:2" x14ac:dyDescent="0.25">
      <c r="A33" s="4" t="s">
        <v>208</v>
      </c>
      <c r="B33" s="5">
        <v>273500</v>
      </c>
    </row>
    <row r="34" spans="1:2" x14ac:dyDescent="0.25">
      <c r="A34" s="4" t="s">
        <v>88</v>
      </c>
      <c r="B34" s="5">
        <v>266000</v>
      </c>
    </row>
    <row r="35" spans="1:2" x14ac:dyDescent="0.25">
      <c r="A35" s="4" t="s">
        <v>182</v>
      </c>
      <c r="B35" s="5">
        <v>236800</v>
      </c>
    </row>
    <row r="36" spans="1:2" x14ac:dyDescent="0.25">
      <c r="A36" s="4" t="s">
        <v>41</v>
      </c>
      <c r="B36" s="5">
        <v>381600</v>
      </c>
    </row>
    <row r="37" spans="1:2" x14ac:dyDescent="0.25">
      <c r="A37" s="4" t="s">
        <v>112</v>
      </c>
      <c r="B37" s="5">
        <v>246400</v>
      </c>
    </row>
    <row r="38" spans="1:2" x14ac:dyDescent="0.25">
      <c r="A38" s="4" t="s">
        <v>139</v>
      </c>
      <c r="B38" s="5">
        <v>287500</v>
      </c>
    </row>
    <row r="39" spans="1:2" x14ac:dyDescent="0.25">
      <c r="A39" s="4" t="s">
        <v>80</v>
      </c>
      <c r="B39" s="5">
        <v>475700.5</v>
      </c>
    </row>
    <row r="40" spans="1:2" x14ac:dyDescent="0.25">
      <c r="A40" s="4" t="s">
        <v>168</v>
      </c>
      <c r="B40" s="5">
        <v>432000</v>
      </c>
    </row>
    <row r="41" spans="1:2" x14ac:dyDescent="0.25">
      <c r="A41" s="4" t="s">
        <v>379</v>
      </c>
      <c r="B41" s="5">
        <v>9486700.5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AB73-80C6-4819-BEF4-C7A0B110061D}">
  <dimension ref="A3:B13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26.7109375" bestFit="1" customWidth="1"/>
  </cols>
  <sheetData>
    <row r="3" spans="1:2" x14ac:dyDescent="0.25">
      <c r="A3" s="3" t="s">
        <v>378</v>
      </c>
      <c r="B3" t="s">
        <v>380</v>
      </c>
    </row>
    <row r="4" spans="1:2" x14ac:dyDescent="0.25">
      <c r="A4" s="4" t="s">
        <v>82</v>
      </c>
      <c r="B4" s="5">
        <v>543000.5</v>
      </c>
    </row>
    <row r="5" spans="1:2" x14ac:dyDescent="0.25">
      <c r="A5" s="4" t="s">
        <v>43</v>
      </c>
      <c r="B5" s="5">
        <v>681000</v>
      </c>
    </row>
    <row r="6" spans="1:2" x14ac:dyDescent="0.25">
      <c r="A6" s="4" t="s">
        <v>36</v>
      </c>
      <c r="B6" s="5">
        <v>987650</v>
      </c>
    </row>
    <row r="7" spans="1:2" x14ac:dyDescent="0.25">
      <c r="A7" s="4" t="s">
        <v>13</v>
      </c>
      <c r="B7" s="5">
        <v>1692400</v>
      </c>
    </row>
    <row r="8" spans="1:2" x14ac:dyDescent="0.25">
      <c r="A8" s="4" t="s">
        <v>95</v>
      </c>
      <c r="B8" s="5">
        <v>1083000</v>
      </c>
    </row>
    <row r="9" spans="1:2" x14ac:dyDescent="0.25">
      <c r="A9" s="4" t="s">
        <v>68</v>
      </c>
      <c r="B9" s="5">
        <v>226400</v>
      </c>
    </row>
    <row r="10" spans="1:2" x14ac:dyDescent="0.25">
      <c r="A10" s="4" t="s">
        <v>30</v>
      </c>
      <c r="B10" s="5">
        <v>622950</v>
      </c>
    </row>
    <row r="11" spans="1:2" x14ac:dyDescent="0.25">
      <c r="A11" s="4" t="s">
        <v>58</v>
      </c>
      <c r="B11" s="5">
        <v>1254600</v>
      </c>
    </row>
    <row r="12" spans="1:2" x14ac:dyDescent="0.25">
      <c r="A12" s="4" t="s">
        <v>22</v>
      </c>
      <c r="B12" s="5">
        <v>2395700</v>
      </c>
    </row>
    <row r="13" spans="1:2" x14ac:dyDescent="0.25">
      <c r="A13" s="4" t="s">
        <v>379</v>
      </c>
      <c r="B13" s="5">
        <v>9486700.5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9267-63FA-4AC0-AC62-1B5F20A56484}">
  <dimension ref="A3:B11"/>
  <sheetViews>
    <sheetView tabSelected="1" workbookViewId="0">
      <selection activeCell="I20" sqref="I20"/>
    </sheetView>
  </sheetViews>
  <sheetFormatPr defaultRowHeight="15" x14ac:dyDescent="0.25"/>
  <cols>
    <col min="1" max="1" width="18" bestFit="1" customWidth="1"/>
    <col min="2" max="2" width="26.7109375" bestFit="1" customWidth="1"/>
  </cols>
  <sheetData>
    <row r="3" spans="1:2" x14ac:dyDescent="0.25">
      <c r="A3" s="3" t="s">
        <v>378</v>
      </c>
      <c r="B3" t="s">
        <v>380</v>
      </c>
    </row>
    <row r="4" spans="1:2" x14ac:dyDescent="0.25">
      <c r="A4" s="4" t="s">
        <v>56</v>
      </c>
      <c r="B4" s="5">
        <v>377300</v>
      </c>
    </row>
    <row r="5" spans="1:2" x14ac:dyDescent="0.25">
      <c r="A5" s="4" t="s">
        <v>35</v>
      </c>
      <c r="B5" s="5">
        <v>790050</v>
      </c>
    </row>
    <row r="6" spans="1:2" x14ac:dyDescent="0.25">
      <c r="A6" s="4" t="s">
        <v>12</v>
      </c>
      <c r="B6" s="5">
        <v>1075350</v>
      </c>
    </row>
    <row r="7" spans="1:2" x14ac:dyDescent="0.25">
      <c r="A7" s="4" t="s">
        <v>28</v>
      </c>
      <c r="B7" s="5">
        <v>2038600.5</v>
      </c>
    </row>
    <row r="8" spans="1:2" x14ac:dyDescent="0.25">
      <c r="A8" s="4" t="s">
        <v>20</v>
      </c>
      <c r="B8" s="5">
        <v>2641400</v>
      </c>
    </row>
    <row r="9" spans="1:2" x14ac:dyDescent="0.25">
      <c r="A9" s="4" t="s">
        <v>132</v>
      </c>
      <c r="B9" s="5">
        <v>2223400</v>
      </c>
    </row>
    <row r="10" spans="1:2" x14ac:dyDescent="0.25">
      <c r="A10" s="4" t="s">
        <v>321</v>
      </c>
      <c r="B10" s="5">
        <v>340600</v>
      </c>
    </row>
    <row r="11" spans="1:2" x14ac:dyDescent="0.25">
      <c r="A11" s="4" t="s">
        <v>379</v>
      </c>
      <c r="B11" s="5">
        <v>9486700.5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opLeftCell="C1" zoomScaleNormal="100" workbookViewId="0">
      <pane ySplit="1" topLeftCell="A57" activePane="bottomLeft" state="frozen"/>
      <selection pane="bottomLeft" activeCell="D1" sqref="D1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2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7</v>
      </c>
      <c r="B2" t="s">
        <v>17</v>
      </c>
      <c r="C2" t="s">
        <v>18</v>
      </c>
      <c r="D2" t="s">
        <v>19</v>
      </c>
      <c r="E2" t="s">
        <v>20</v>
      </c>
      <c r="F2">
        <v>235000</v>
      </c>
      <c r="G2" t="s">
        <v>21</v>
      </c>
      <c r="H2" t="s">
        <v>22</v>
      </c>
      <c r="I2" t="s">
        <v>23</v>
      </c>
      <c r="J2" t="s">
        <v>24</v>
      </c>
      <c r="K2" t="s">
        <v>16</v>
      </c>
    </row>
    <row r="3" spans="1:11" x14ac:dyDescent="0.25">
      <c r="A3">
        <v>8</v>
      </c>
      <c r="B3" t="s">
        <v>25</v>
      </c>
      <c r="C3" t="s">
        <v>26</v>
      </c>
      <c r="D3" t="s">
        <v>27</v>
      </c>
      <c r="E3" t="s">
        <v>28</v>
      </c>
      <c r="F3">
        <v>112750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 x14ac:dyDescent="0.25">
      <c r="A4">
        <v>10</v>
      </c>
      <c r="B4" t="s">
        <v>39</v>
      </c>
      <c r="C4" t="s">
        <v>40</v>
      </c>
      <c r="D4" t="s">
        <v>41</v>
      </c>
      <c r="E4" t="s">
        <v>20</v>
      </c>
      <c r="F4">
        <v>121000</v>
      </c>
      <c r="G4" t="s">
        <v>42</v>
      </c>
      <c r="H4" t="s">
        <v>43</v>
      </c>
      <c r="I4" t="s">
        <v>44</v>
      </c>
      <c r="J4" t="s">
        <v>45</v>
      </c>
      <c r="K4" t="s">
        <v>16</v>
      </c>
    </row>
    <row r="5" spans="1:11" x14ac:dyDescent="0.25">
      <c r="A5">
        <v>11</v>
      </c>
      <c r="B5" t="s">
        <v>46</v>
      </c>
      <c r="C5" t="s">
        <v>47</v>
      </c>
      <c r="D5" t="s">
        <v>48</v>
      </c>
      <c r="E5" t="s">
        <v>28</v>
      </c>
      <c r="F5">
        <v>104500</v>
      </c>
      <c r="G5" t="s">
        <v>49</v>
      </c>
      <c r="H5" t="s">
        <v>13</v>
      </c>
      <c r="I5" t="s">
        <v>50</v>
      </c>
      <c r="J5" t="s">
        <v>51</v>
      </c>
      <c r="K5" t="s">
        <v>52</v>
      </c>
    </row>
    <row r="6" spans="1:11" x14ac:dyDescent="0.25">
      <c r="A6">
        <v>12</v>
      </c>
      <c r="B6" t="s">
        <v>53</v>
      </c>
      <c r="C6" t="s">
        <v>54</v>
      </c>
      <c r="D6" t="s">
        <v>55</v>
      </c>
      <c r="E6" t="s">
        <v>56</v>
      </c>
      <c r="F6">
        <v>96300</v>
      </c>
      <c r="G6" t="s">
        <v>57</v>
      </c>
      <c r="H6" t="s">
        <v>58</v>
      </c>
      <c r="I6" t="s">
        <v>59</v>
      </c>
      <c r="J6" t="s">
        <v>60</v>
      </c>
      <c r="K6" t="s">
        <v>16</v>
      </c>
    </row>
    <row r="7" spans="1:11" x14ac:dyDescent="0.25">
      <c r="A7">
        <v>14</v>
      </c>
      <c r="B7" t="s">
        <v>64</v>
      </c>
      <c r="C7" t="s">
        <v>65</v>
      </c>
      <c r="D7" t="s">
        <v>66</v>
      </c>
      <c r="E7" t="s">
        <v>35</v>
      </c>
      <c r="F7">
        <v>73500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</row>
    <row r="8" spans="1:11" x14ac:dyDescent="0.25">
      <c r="A8">
        <v>15</v>
      </c>
      <c r="B8" t="s">
        <v>72</v>
      </c>
      <c r="C8" t="s">
        <v>73</v>
      </c>
      <c r="D8" t="s">
        <v>74</v>
      </c>
      <c r="E8" t="s">
        <v>20</v>
      </c>
      <c r="F8">
        <v>95000</v>
      </c>
      <c r="G8" t="s">
        <v>75</v>
      </c>
      <c r="H8" t="s">
        <v>30</v>
      </c>
      <c r="I8" t="s">
        <v>76</v>
      </c>
      <c r="J8" t="s">
        <v>77</v>
      </c>
      <c r="K8" t="s">
        <v>33</v>
      </c>
    </row>
    <row r="9" spans="1:11" x14ac:dyDescent="0.25">
      <c r="A9">
        <v>16</v>
      </c>
      <c r="B9" t="s">
        <v>78</v>
      </c>
      <c r="C9" t="s">
        <v>79</v>
      </c>
      <c r="D9" t="s">
        <v>80</v>
      </c>
      <c r="E9" t="s">
        <v>28</v>
      </c>
      <c r="F9">
        <v>153200.5</v>
      </c>
      <c r="G9" t="s">
        <v>81</v>
      </c>
      <c r="H9" t="s">
        <v>82</v>
      </c>
      <c r="I9" t="s">
        <v>83</v>
      </c>
      <c r="J9" t="s">
        <v>32</v>
      </c>
      <c r="K9" t="s">
        <v>16</v>
      </c>
    </row>
    <row r="10" spans="1:11" x14ac:dyDescent="0.25">
      <c r="A10">
        <v>18</v>
      </c>
      <c r="B10" t="s">
        <v>86</v>
      </c>
      <c r="C10" t="s">
        <v>87</v>
      </c>
      <c r="D10" t="s">
        <v>88</v>
      </c>
      <c r="E10" t="s">
        <v>12</v>
      </c>
      <c r="F10">
        <v>132000</v>
      </c>
      <c r="G10" t="s">
        <v>89</v>
      </c>
      <c r="H10" t="s">
        <v>36</v>
      </c>
      <c r="I10" t="s">
        <v>90</v>
      </c>
      <c r="J10" t="s">
        <v>45</v>
      </c>
      <c r="K10" t="s">
        <v>16</v>
      </c>
    </row>
    <row r="11" spans="1:11" x14ac:dyDescent="0.25">
      <c r="A11">
        <v>19</v>
      </c>
      <c r="B11" t="s">
        <v>91</v>
      </c>
      <c r="C11" t="s">
        <v>92</v>
      </c>
      <c r="D11" t="s">
        <v>93</v>
      </c>
      <c r="E11" t="s">
        <v>20</v>
      </c>
      <c r="F11">
        <v>188000</v>
      </c>
      <c r="G11" t="s">
        <v>94</v>
      </c>
      <c r="H11" t="s">
        <v>95</v>
      </c>
      <c r="I11" t="s">
        <v>96</v>
      </c>
      <c r="J11" t="s">
        <v>32</v>
      </c>
      <c r="K11" t="s">
        <v>97</v>
      </c>
    </row>
    <row r="12" spans="1:11" x14ac:dyDescent="0.25">
      <c r="A12">
        <v>20</v>
      </c>
      <c r="B12" t="s">
        <v>98</v>
      </c>
      <c r="C12" t="s">
        <v>99</v>
      </c>
      <c r="D12" t="s">
        <v>100</v>
      </c>
      <c r="E12" t="s">
        <v>28</v>
      </c>
      <c r="F12">
        <v>127800</v>
      </c>
      <c r="G12" t="s">
        <v>101</v>
      </c>
      <c r="H12" t="s">
        <v>13</v>
      </c>
      <c r="I12" t="s">
        <v>102</v>
      </c>
      <c r="J12" t="s">
        <v>103</v>
      </c>
      <c r="K12" t="s">
        <v>16</v>
      </c>
    </row>
    <row r="13" spans="1:11" x14ac:dyDescent="0.25">
      <c r="A13">
        <v>21</v>
      </c>
      <c r="B13" t="s">
        <v>104</v>
      </c>
      <c r="C13" t="s">
        <v>105</v>
      </c>
      <c r="D13" t="s">
        <v>106</v>
      </c>
      <c r="E13" t="s">
        <v>35</v>
      </c>
      <c r="F13">
        <v>58900</v>
      </c>
      <c r="G13" t="s">
        <v>107</v>
      </c>
      <c r="H13" t="s">
        <v>43</v>
      </c>
      <c r="I13" t="s">
        <v>108</v>
      </c>
      <c r="J13" t="s">
        <v>51</v>
      </c>
      <c r="K13" t="s">
        <v>38</v>
      </c>
    </row>
    <row r="14" spans="1:11" x14ac:dyDescent="0.25">
      <c r="A14">
        <v>23</v>
      </c>
      <c r="B14" t="s">
        <v>110</v>
      </c>
      <c r="C14" t="s">
        <v>111</v>
      </c>
      <c r="D14" t="s">
        <v>112</v>
      </c>
      <c r="E14" t="s">
        <v>28</v>
      </c>
      <c r="F14">
        <v>118500</v>
      </c>
      <c r="G14" t="s">
        <v>113</v>
      </c>
      <c r="H14" t="s">
        <v>22</v>
      </c>
      <c r="I14" t="s">
        <v>114</v>
      </c>
      <c r="J14" t="s">
        <v>115</v>
      </c>
      <c r="K14" t="s">
        <v>16</v>
      </c>
    </row>
    <row r="15" spans="1:11" x14ac:dyDescent="0.25">
      <c r="A15">
        <v>25</v>
      </c>
      <c r="B15" t="s">
        <v>117</v>
      </c>
      <c r="C15" t="s">
        <v>118</v>
      </c>
      <c r="D15" t="s">
        <v>119</v>
      </c>
      <c r="E15" t="s">
        <v>20</v>
      </c>
      <c r="F15">
        <v>158750</v>
      </c>
      <c r="G15" t="s">
        <v>120</v>
      </c>
      <c r="H15" t="s">
        <v>58</v>
      </c>
      <c r="I15" t="s">
        <v>121</v>
      </c>
      <c r="J15" t="s">
        <v>122</v>
      </c>
      <c r="K15" t="s">
        <v>16</v>
      </c>
    </row>
    <row r="16" spans="1:11" x14ac:dyDescent="0.25">
      <c r="A16">
        <v>26</v>
      </c>
      <c r="B16" t="s">
        <v>123</v>
      </c>
      <c r="C16" t="s">
        <v>124</v>
      </c>
      <c r="D16" t="s">
        <v>125</v>
      </c>
      <c r="E16" t="s">
        <v>56</v>
      </c>
      <c r="F16">
        <v>72000</v>
      </c>
      <c r="G16" t="s">
        <v>126</v>
      </c>
      <c r="H16" t="s">
        <v>43</v>
      </c>
      <c r="I16" t="s">
        <v>127</v>
      </c>
      <c r="J16" t="s">
        <v>128</v>
      </c>
      <c r="K16" t="s">
        <v>52</v>
      </c>
    </row>
    <row r="17" spans="1:11" x14ac:dyDescent="0.25">
      <c r="A17">
        <v>27</v>
      </c>
      <c r="B17" t="s">
        <v>129</v>
      </c>
      <c r="C17" t="s">
        <v>130</v>
      </c>
      <c r="D17" t="s">
        <v>131</v>
      </c>
      <c r="E17" t="s">
        <v>132</v>
      </c>
      <c r="F17">
        <v>86500</v>
      </c>
      <c r="G17" t="s">
        <v>42</v>
      </c>
      <c r="H17" t="s">
        <v>22</v>
      </c>
      <c r="I17" t="s">
        <v>133</v>
      </c>
      <c r="J17" t="s">
        <v>32</v>
      </c>
      <c r="K17" t="s">
        <v>16</v>
      </c>
    </row>
    <row r="18" spans="1:11" x14ac:dyDescent="0.25">
      <c r="A18">
        <v>29</v>
      </c>
      <c r="B18" t="s">
        <v>137</v>
      </c>
      <c r="C18" t="s">
        <v>138</v>
      </c>
      <c r="D18" t="s">
        <v>139</v>
      </c>
      <c r="E18" t="s">
        <v>28</v>
      </c>
      <c r="F18">
        <v>139000</v>
      </c>
      <c r="G18" t="s">
        <v>140</v>
      </c>
      <c r="H18" t="s">
        <v>30</v>
      </c>
      <c r="I18" t="s">
        <v>141</v>
      </c>
      <c r="J18" t="s">
        <v>115</v>
      </c>
      <c r="K18" t="s">
        <v>33</v>
      </c>
    </row>
    <row r="19" spans="1:11" x14ac:dyDescent="0.25">
      <c r="A19">
        <v>30</v>
      </c>
      <c r="B19" t="s">
        <v>142</v>
      </c>
      <c r="C19" t="s">
        <v>143</v>
      </c>
      <c r="D19" t="s">
        <v>144</v>
      </c>
      <c r="E19" t="s">
        <v>35</v>
      </c>
      <c r="F19">
        <v>76800</v>
      </c>
      <c r="G19" t="s">
        <v>145</v>
      </c>
      <c r="H19" t="s">
        <v>13</v>
      </c>
      <c r="I19" t="s">
        <v>146</v>
      </c>
      <c r="J19" t="s">
        <v>147</v>
      </c>
      <c r="K19" t="s">
        <v>16</v>
      </c>
    </row>
    <row r="20" spans="1:11" x14ac:dyDescent="0.25">
      <c r="A20">
        <v>32</v>
      </c>
      <c r="B20" t="s">
        <v>150</v>
      </c>
      <c r="C20" t="s">
        <v>151</v>
      </c>
      <c r="D20" t="s">
        <v>152</v>
      </c>
      <c r="E20" t="s">
        <v>12</v>
      </c>
      <c r="F20">
        <v>119900</v>
      </c>
      <c r="G20" t="s">
        <v>153</v>
      </c>
      <c r="H20" t="s">
        <v>36</v>
      </c>
      <c r="I20" t="s">
        <v>154</v>
      </c>
      <c r="J20" t="s">
        <v>155</v>
      </c>
      <c r="K20" t="s">
        <v>16</v>
      </c>
    </row>
    <row r="21" spans="1:11" x14ac:dyDescent="0.25">
      <c r="A21">
        <v>33</v>
      </c>
      <c r="B21" t="s">
        <v>156</v>
      </c>
      <c r="C21" t="s">
        <v>157</v>
      </c>
      <c r="D21" t="s">
        <v>158</v>
      </c>
      <c r="E21" t="s">
        <v>28</v>
      </c>
      <c r="F21">
        <v>109250</v>
      </c>
      <c r="G21" t="s">
        <v>159</v>
      </c>
      <c r="H21" t="s">
        <v>58</v>
      </c>
      <c r="I21" t="s">
        <v>160</v>
      </c>
      <c r="J21" t="s">
        <v>32</v>
      </c>
      <c r="K21" t="s">
        <v>33</v>
      </c>
    </row>
    <row r="22" spans="1:11" x14ac:dyDescent="0.25">
      <c r="A22">
        <v>34</v>
      </c>
      <c r="B22" t="s">
        <v>161</v>
      </c>
      <c r="C22" t="s">
        <v>162</v>
      </c>
      <c r="D22" t="s">
        <v>163</v>
      </c>
      <c r="E22" t="s">
        <v>12</v>
      </c>
      <c r="F22">
        <v>82000</v>
      </c>
      <c r="G22" t="s">
        <v>164</v>
      </c>
      <c r="H22" t="s">
        <v>22</v>
      </c>
      <c r="I22" t="s">
        <v>165</v>
      </c>
      <c r="J22" t="s">
        <v>51</v>
      </c>
      <c r="K22" t="s">
        <v>16</v>
      </c>
    </row>
    <row r="23" spans="1:11" x14ac:dyDescent="0.25">
      <c r="A23">
        <v>35</v>
      </c>
      <c r="B23" t="s">
        <v>166</v>
      </c>
      <c r="C23" t="s">
        <v>167</v>
      </c>
      <c r="D23" t="s">
        <v>168</v>
      </c>
      <c r="E23" t="s">
        <v>132</v>
      </c>
      <c r="F23">
        <v>214000</v>
      </c>
      <c r="G23" t="s">
        <v>42</v>
      </c>
      <c r="H23" t="s">
        <v>95</v>
      </c>
      <c r="I23" t="s">
        <v>62</v>
      </c>
      <c r="J23" t="s">
        <v>45</v>
      </c>
      <c r="K23" t="s">
        <v>169</v>
      </c>
    </row>
    <row r="24" spans="1:11" x14ac:dyDescent="0.25">
      <c r="A24">
        <v>37</v>
      </c>
      <c r="B24" t="s">
        <v>172</v>
      </c>
      <c r="C24" t="s">
        <v>173</v>
      </c>
      <c r="D24" t="s">
        <v>116</v>
      </c>
      <c r="E24" t="s">
        <v>28</v>
      </c>
      <c r="F24">
        <v>98200</v>
      </c>
      <c r="G24" t="s">
        <v>174</v>
      </c>
      <c r="H24" t="s">
        <v>43</v>
      </c>
      <c r="I24" t="s">
        <v>175</v>
      </c>
      <c r="J24" t="s">
        <v>45</v>
      </c>
      <c r="K24" t="s">
        <v>38</v>
      </c>
    </row>
    <row r="25" spans="1:11" x14ac:dyDescent="0.25">
      <c r="A25">
        <v>38</v>
      </c>
      <c r="B25" t="s">
        <v>176</v>
      </c>
      <c r="C25" t="s">
        <v>177</v>
      </c>
      <c r="D25" t="s">
        <v>106</v>
      </c>
      <c r="E25" t="s">
        <v>12</v>
      </c>
      <c r="F25">
        <v>67500</v>
      </c>
      <c r="G25" t="s">
        <v>178</v>
      </c>
      <c r="H25" t="s">
        <v>30</v>
      </c>
      <c r="I25" t="s">
        <v>179</v>
      </c>
      <c r="J25" t="s">
        <v>149</v>
      </c>
      <c r="K25" t="s">
        <v>16</v>
      </c>
    </row>
    <row r="26" spans="1:11" x14ac:dyDescent="0.25">
      <c r="A26">
        <v>39</v>
      </c>
      <c r="B26" t="s">
        <v>180</v>
      </c>
      <c r="C26" t="s">
        <v>181</v>
      </c>
      <c r="D26" t="s">
        <v>182</v>
      </c>
      <c r="E26" t="s">
        <v>132</v>
      </c>
      <c r="F26">
        <v>116900</v>
      </c>
      <c r="G26" t="s">
        <v>42</v>
      </c>
      <c r="H26" t="s">
        <v>22</v>
      </c>
      <c r="I26" t="s">
        <v>183</v>
      </c>
      <c r="J26" t="s">
        <v>184</v>
      </c>
      <c r="K26" t="s">
        <v>33</v>
      </c>
    </row>
    <row r="27" spans="1:11" x14ac:dyDescent="0.25">
      <c r="A27">
        <v>40</v>
      </c>
      <c r="B27" t="s">
        <v>185</v>
      </c>
      <c r="C27" t="s">
        <v>186</v>
      </c>
      <c r="D27" t="s">
        <v>187</v>
      </c>
      <c r="E27" t="s">
        <v>20</v>
      </c>
      <c r="F27">
        <v>112000</v>
      </c>
      <c r="G27" t="s">
        <v>188</v>
      </c>
      <c r="H27" t="s">
        <v>36</v>
      </c>
      <c r="I27" t="s">
        <v>189</v>
      </c>
      <c r="J27" t="s">
        <v>190</v>
      </c>
      <c r="K27" t="s">
        <v>16</v>
      </c>
    </row>
    <row r="28" spans="1:11" x14ac:dyDescent="0.25">
      <c r="A28">
        <v>41</v>
      </c>
      <c r="B28" t="s">
        <v>191</v>
      </c>
      <c r="C28" t="s">
        <v>192</v>
      </c>
      <c r="D28" t="s">
        <v>66</v>
      </c>
      <c r="E28" t="s">
        <v>35</v>
      </c>
      <c r="F28">
        <v>74000</v>
      </c>
      <c r="G28" t="s">
        <v>193</v>
      </c>
      <c r="H28" t="s">
        <v>68</v>
      </c>
      <c r="I28" t="s">
        <v>194</v>
      </c>
      <c r="J28" t="s">
        <v>195</v>
      </c>
      <c r="K28" t="s">
        <v>52</v>
      </c>
    </row>
    <row r="29" spans="1:11" x14ac:dyDescent="0.25">
      <c r="A29">
        <v>42</v>
      </c>
      <c r="B29" t="s">
        <v>196</v>
      </c>
      <c r="C29" t="s">
        <v>197</v>
      </c>
      <c r="D29" t="s">
        <v>198</v>
      </c>
      <c r="E29" t="s">
        <v>20</v>
      </c>
      <c r="F29">
        <v>198300</v>
      </c>
      <c r="G29" t="s">
        <v>199</v>
      </c>
      <c r="H29" t="s">
        <v>22</v>
      </c>
      <c r="I29" t="s">
        <v>200</v>
      </c>
      <c r="J29" t="s">
        <v>201</v>
      </c>
      <c r="K29" t="s">
        <v>97</v>
      </c>
    </row>
    <row r="30" spans="1:11" x14ac:dyDescent="0.25">
      <c r="A30">
        <v>45</v>
      </c>
      <c r="B30" t="s">
        <v>202</v>
      </c>
      <c r="C30" t="s">
        <v>203</v>
      </c>
      <c r="D30" t="s">
        <v>41</v>
      </c>
      <c r="E30" t="s">
        <v>132</v>
      </c>
      <c r="F30">
        <v>129000</v>
      </c>
      <c r="G30" t="s">
        <v>42</v>
      </c>
      <c r="H30" t="s">
        <v>82</v>
      </c>
      <c r="I30" t="s">
        <v>204</v>
      </c>
      <c r="J30" t="s">
        <v>205</v>
      </c>
      <c r="K30" t="s">
        <v>33</v>
      </c>
    </row>
    <row r="31" spans="1:11" x14ac:dyDescent="0.25">
      <c r="A31">
        <v>46</v>
      </c>
      <c r="B31" t="s">
        <v>206</v>
      </c>
      <c r="C31" t="s">
        <v>207</v>
      </c>
      <c r="D31" t="s">
        <v>208</v>
      </c>
      <c r="E31" t="s">
        <v>12</v>
      </c>
      <c r="F31">
        <v>136000</v>
      </c>
      <c r="G31" t="s">
        <v>209</v>
      </c>
      <c r="H31" t="s">
        <v>13</v>
      </c>
      <c r="I31" t="s">
        <v>210</v>
      </c>
      <c r="J31" t="s">
        <v>37</v>
      </c>
      <c r="K31" t="s">
        <v>16</v>
      </c>
    </row>
    <row r="32" spans="1:11" x14ac:dyDescent="0.25">
      <c r="A32">
        <v>48</v>
      </c>
      <c r="B32" t="s">
        <v>211</v>
      </c>
      <c r="C32" t="s">
        <v>212</v>
      </c>
      <c r="D32" t="s">
        <v>61</v>
      </c>
      <c r="E32" t="s">
        <v>28</v>
      </c>
      <c r="F32">
        <v>92800</v>
      </c>
      <c r="G32" t="s">
        <v>213</v>
      </c>
      <c r="H32" t="s">
        <v>58</v>
      </c>
      <c r="I32" t="s">
        <v>214</v>
      </c>
      <c r="J32" t="s">
        <v>45</v>
      </c>
      <c r="K32" t="s">
        <v>16</v>
      </c>
    </row>
    <row r="33" spans="1:11" x14ac:dyDescent="0.25">
      <c r="A33">
        <v>49</v>
      </c>
      <c r="B33" t="s">
        <v>215</v>
      </c>
      <c r="C33" t="s">
        <v>216</v>
      </c>
      <c r="D33" t="s">
        <v>163</v>
      </c>
      <c r="E33" t="s">
        <v>12</v>
      </c>
      <c r="F33">
        <v>72400</v>
      </c>
      <c r="G33" t="s">
        <v>217</v>
      </c>
      <c r="H33" t="s">
        <v>36</v>
      </c>
      <c r="I33" t="s">
        <v>218</v>
      </c>
      <c r="J33" t="s">
        <v>77</v>
      </c>
      <c r="K33" t="s">
        <v>136</v>
      </c>
    </row>
    <row r="34" spans="1:11" x14ac:dyDescent="0.25">
      <c r="A34">
        <v>50</v>
      </c>
      <c r="B34" t="s">
        <v>219</v>
      </c>
      <c r="C34" t="s">
        <v>220</v>
      </c>
      <c r="D34" t="s">
        <v>80</v>
      </c>
      <c r="E34" t="s">
        <v>132</v>
      </c>
      <c r="F34">
        <v>158500</v>
      </c>
      <c r="G34" t="s">
        <v>221</v>
      </c>
      <c r="H34" t="s">
        <v>95</v>
      </c>
      <c r="I34" t="s">
        <v>102</v>
      </c>
      <c r="J34" t="s">
        <v>103</v>
      </c>
      <c r="K34" t="s">
        <v>16</v>
      </c>
    </row>
    <row r="35" spans="1:11" x14ac:dyDescent="0.25">
      <c r="A35">
        <v>51</v>
      </c>
      <c r="B35" t="s">
        <v>222</v>
      </c>
      <c r="C35" t="s">
        <v>223</v>
      </c>
      <c r="D35" t="s">
        <v>11</v>
      </c>
      <c r="E35" t="s">
        <v>35</v>
      </c>
      <c r="F35">
        <v>69900</v>
      </c>
      <c r="G35" t="s">
        <v>224</v>
      </c>
      <c r="H35" t="s">
        <v>43</v>
      </c>
      <c r="I35" t="s">
        <v>225</v>
      </c>
      <c r="J35" t="s">
        <v>45</v>
      </c>
      <c r="K35" t="s">
        <v>38</v>
      </c>
    </row>
    <row r="36" spans="1:11" x14ac:dyDescent="0.25">
      <c r="A36">
        <v>53</v>
      </c>
      <c r="B36" t="s">
        <v>226</v>
      </c>
      <c r="C36" t="s">
        <v>227</v>
      </c>
      <c r="D36" t="s">
        <v>125</v>
      </c>
      <c r="E36" t="s">
        <v>56</v>
      </c>
      <c r="F36">
        <v>71500</v>
      </c>
      <c r="G36" t="s">
        <v>228</v>
      </c>
      <c r="H36" t="s">
        <v>22</v>
      </c>
      <c r="I36" t="s">
        <v>229</v>
      </c>
      <c r="J36" t="s">
        <v>230</v>
      </c>
      <c r="K36" t="s">
        <v>16</v>
      </c>
    </row>
    <row r="37" spans="1:11" x14ac:dyDescent="0.25">
      <c r="A37">
        <v>54</v>
      </c>
      <c r="B37" t="s">
        <v>231</v>
      </c>
      <c r="C37" t="s">
        <v>232</v>
      </c>
      <c r="D37" t="s">
        <v>233</v>
      </c>
      <c r="E37" t="s">
        <v>28</v>
      </c>
      <c r="F37">
        <v>146800</v>
      </c>
      <c r="G37" t="s">
        <v>234</v>
      </c>
      <c r="H37" t="s">
        <v>13</v>
      </c>
      <c r="I37" t="s">
        <v>235</v>
      </c>
      <c r="J37" t="s">
        <v>236</v>
      </c>
      <c r="K37" t="s">
        <v>38</v>
      </c>
    </row>
    <row r="38" spans="1:11" x14ac:dyDescent="0.25">
      <c r="A38">
        <v>55</v>
      </c>
      <c r="B38" t="s">
        <v>237</v>
      </c>
      <c r="C38" t="s">
        <v>238</v>
      </c>
      <c r="D38" t="s">
        <v>131</v>
      </c>
      <c r="E38" t="s">
        <v>132</v>
      </c>
      <c r="F38">
        <v>89700</v>
      </c>
      <c r="G38" t="s">
        <v>42</v>
      </c>
      <c r="H38" t="s">
        <v>58</v>
      </c>
      <c r="I38" t="s">
        <v>239</v>
      </c>
      <c r="J38" t="s">
        <v>240</v>
      </c>
      <c r="K38" t="s">
        <v>16</v>
      </c>
    </row>
    <row r="39" spans="1:11" x14ac:dyDescent="0.25">
      <c r="A39">
        <v>56</v>
      </c>
      <c r="B39" t="s">
        <v>241</v>
      </c>
      <c r="C39" t="s">
        <v>242</v>
      </c>
      <c r="D39" t="s">
        <v>55</v>
      </c>
      <c r="E39" t="s">
        <v>12</v>
      </c>
      <c r="F39">
        <v>104600</v>
      </c>
      <c r="G39" t="s">
        <v>243</v>
      </c>
      <c r="H39" t="s">
        <v>43</v>
      </c>
      <c r="I39" t="s">
        <v>244</v>
      </c>
      <c r="J39" t="s">
        <v>245</v>
      </c>
      <c r="K39" t="s">
        <v>52</v>
      </c>
    </row>
    <row r="40" spans="1:11" x14ac:dyDescent="0.25">
      <c r="A40">
        <v>58</v>
      </c>
      <c r="B40" t="s">
        <v>246</v>
      </c>
      <c r="C40" t="s">
        <v>247</v>
      </c>
      <c r="D40" t="s">
        <v>144</v>
      </c>
      <c r="E40" t="s">
        <v>35</v>
      </c>
      <c r="F40">
        <v>78400</v>
      </c>
      <c r="G40" t="s">
        <v>248</v>
      </c>
      <c r="H40" t="s">
        <v>36</v>
      </c>
      <c r="I40" t="s">
        <v>249</v>
      </c>
      <c r="J40" t="s">
        <v>85</v>
      </c>
      <c r="K40" t="s">
        <v>250</v>
      </c>
    </row>
    <row r="41" spans="1:11" x14ac:dyDescent="0.25">
      <c r="A41">
        <v>60</v>
      </c>
      <c r="B41" t="s">
        <v>251</v>
      </c>
      <c r="C41" t="s">
        <v>252</v>
      </c>
      <c r="D41" t="s">
        <v>134</v>
      </c>
      <c r="E41" t="s">
        <v>20</v>
      </c>
      <c r="F41">
        <v>268900</v>
      </c>
      <c r="G41" t="s">
        <v>253</v>
      </c>
      <c r="H41" t="s">
        <v>13</v>
      </c>
      <c r="I41" t="s">
        <v>254</v>
      </c>
      <c r="J41" t="s">
        <v>45</v>
      </c>
      <c r="K41" t="s">
        <v>16</v>
      </c>
    </row>
    <row r="42" spans="1:11" x14ac:dyDescent="0.25">
      <c r="A42">
        <v>61</v>
      </c>
      <c r="B42" t="s">
        <v>255</v>
      </c>
      <c r="C42" t="s">
        <v>256</v>
      </c>
      <c r="D42" t="s">
        <v>48</v>
      </c>
      <c r="E42" t="s">
        <v>28</v>
      </c>
      <c r="F42">
        <v>101300</v>
      </c>
      <c r="G42" t="s">
        <v>257</v>
      </c>
      <c r="H42" t="s">
        <v>22</v>
      </c>
      <c r="I42" t="s">
        <v>258</v>
      </c>
      <c r="J42" t="s">
        <v>32</v>
      </c>
      <c r="K42" t="s">
        <v>38</v>
      </c>
    </row>
    <row r="43" spans="1:11" x14ac:dyDescent="0.25">
      <c r="A43">
        <v>62</v>
      </c>
      <c r="B43" t="s">
        <v>259</v>
      </c>
      <c r="C43" t="s">
        <v>260</v>
      </c>
      <c r="D43" t="s">
        <v>34</v>
      </c>
      <c r="E43" t="s">
        <v>35</v>
      </c>
      <c r="F43">
        <v>66750</v>
      </c>
      <c r="G43" t="s">
        <v>261</v>
      </c>
      <c r="H43" t="s">
        <v>36</v>
      </c>
      <c r="I43" t="s">
        <v>262</v>
      </c>
      <c r="J43" t="s">
        <v>190</v>
      </c>
      <c r="K43" t="s">
        <v>16</v>
      </c>
    </row>
    <row r="44" spans="1:11" x14ac:dyDescent="0.25">
      <c r="A44">
        <v>63</v>
      </c>
      <c r="B44" t="s">
        <v>263</v>
      </c>
      <c r="C44" t="s">
        <v>264</v>
      </c>
      <c r="D44" t="s">
        <v>112</v>
      </c>
      <c r="E44" t="s">
        <v>20</v>
      </c>
      <c r="F44">
        <v>127900</v>
      </c>
      <c r="G44" t="s">
        <v>265</v>
      </c>
      <c r="H44" t="s">
        <v>58</v>
      </c>
      <c r="I44" t="s">
        <v>266</v>
      </c>
      <c r="J44" t="s">
        <v>128</v>
      </c>
      <c r="K44" t="s">
        <v>33</v>
      </c>
    </row>
    <row r="45" spans="1:11" x14ac:dyDescent="0.25">
      <c r="A45">
        <v>64</v>
      </c>
      <c r="B45" t="s">
        <v>267</v>
      </c>
      <c r="C45" t="s">
        <v>268</v>
      </c>
      <c r="D45" t="s">
        <v>93</v>
      </c>
      <c r="E45" t="s">
        <v>132</v>
      </c>
      <c r="F45">
        <v>200000</v>
      </c>
      <c r="G45" t="s">
        <v>269</v>
      </c>
      <c r="H45" t="s">
        <v>22</v>
      </c>
      <c r="I45" t="s">
        <v>270</v>
      </c>
      <c r="J45" t="s">
        <v>149</v>
      </c>
      <c r="K45" t="s">
        <v>16</v>
      </c>
    </row>
    <row r="46" spans="1:11" x14ac:dyDescent="0.25">
      <c r="A46">
        <v>65</v>
      </c>
      <c r="B46" t="s">
        <v>271</v>
      </c>
      <c r="C46" t="s">
        <v>272</v>
      </c>
      <c r="D46" t="s">
        <v>100</v>
      </c>
      <c r="E46" t="s">
        <v>28</v>
      </c>
      <c r="F46">
        <v>132000</v>
      </c>
      <c r="G46" t="s">
        <v>273</v>
      </c>
      <c r="H46" t="s">
        <v>95</v>
      </c>
      <c r="I46" t="s">
        <v>274</v>
      </c>
      <c r="J46" t="s">
        <v>275</v>
      </c>
      <c r="K46" t="s">
        <v>169</v>
      </c>
    </row>
    <row r="47" spans="1:11" x14ac:dyDescent="0.25">
      <c r="A47">
        <v>66</v>
      </c>
      <c r="B47" t="s">
        <v>276</v>
      </c>
      <c r="C47" t="s">
        <v>277</v>
      </c>
      <c r="D47" t="s">
        <v>148</v>
      </c>
      <c r="E47" t="s">
        <v>20</v>
      </c>
      <c r="F47">
        <v>176400</v>
      </c>
      <c r="G47" t="s">
        <v>278</v>
      </c>
      <c r="H47" t="s">
        <v>13</v>
      </c>
      <c r="I47" t="s">
        <v>279</v>
      </c>
      <c r="J47" t="s">
        <v>32</v>
      </c>
      <c r="K47" t="s">
        <v>16</v>
      </c>
    </row>
    <row r="48" spans="1:11" x14ac:dyDescent="0.25">
      <c r="A48">
        <v>68</v>
      </c>
      <c r="B48" t="s">
        <v>280</v>
      </c>
      <c r="C48" t="s">
        <v>281</v>
      </c>
      <c r="D48" t="s">
        <v>106</v>
      </c>
      <c r="E48" t="s">
        <v>35</v>
      </c>
      <c r="F48">
        <v>59000</v>
      </c>
      <c r="G48" t="s">
        <v>282</v>
      </c>
      <c r="H48" t="s">
        <v>30</v>
      </c>
      <c r="I48" t="s">
        <v>283</v>
      </c>
      <c r="J48" t="s">
        <v>115</v>
      </c>
      <c r="K48" t="s">
        <v>97</v>
      </c>
    </row>
    <row r="49" spans="1:11" x14ac:dyDescent="0.25">
      <c r="A49">
        <v>69</v>
      </c>
      <c r="B49" t="s">
        <v>284</v>
      </c>
      <c r="C49" t="s">
        <v>285</v>
      </c>
      <c r="D49" t="s">
        <v>168</v>
      </c>
      <c r="E49" t="s">
        <v>132</v>
      </c>
      <c r="F49">
        <v>218000</v>
      </c>
      <c r="G49" t="s">
        <v>42</v>
      </c>
      <c r="H49" t="s">
        <v>22</v>
      </c>
      <c r="I49" t="s">
        <v>286</v>
      </c>
      <c r="J49" t="s">
        <v>195</v>
      </c>
      <c r="K49" t="s">
        <v>38</v>
      </c>
    </row>
    <row r="50" spans="1:11" x14ac:dyDescent="0.25">
      <c r="A50">
        <v>71</v>
      </c>
      <c r="B50" t="s">
        <v>246</v>
      </c>
      <c r="C50" t="s">
        <v>287</v>
      </c>
      <c r="D50" t="s">
        <v>152</v>
      </c>
      <c r="E50" t="s">
        <v>20</v>
      </c>
      <c r="F50">
        <v>121750</v>
      </c>
      <c r="G50" t="s">
        <v>288</v>
      </c>
      <c r="H50" t="s">
        <v>13</v>
      </c>
      <c r="I50" t="s">
        <v>289</v>
      </c>
      <c r="J50" t="s">
        <v>77</v>
      </c>
      <c r="K50" t="s">
        <v>16</v>
      </c>
    </row>
    <row r="51" spans="1:11" x14ac:dyDescent="0.25">
      <c r="A51">
        <v>72</v>
      </c>
      <c r="B51" t="s">
        <v>290</v>
      </c>
      <c r="C51" t="s">
        <v>291</v>
      </c>
      <c r="D51" t="s">
        <v>292</v>
      </c>
      <c r="E51" t="s">
        <v>28</v>
      </c>
      <c r="F51">
        <v>91500</v>
      </c>
      <c r="G51" t="s">
        <v>293</v>
      </c>
      <c r="H51" t="s">
        <v>58</v>
      </c>
      <c r="I51" t="s">
        <v>294</v>
      </c>
      <c r="J51" t="s">
        <v>85</v>
      </c>
      <c r="K51" t="s">
        <v>71</v>
      </c>
    </row>
    <row r="52" spans="1:11" x14ac:dyDescent="0.25">
      <c r="A52">
        <v>73</v>
      </c>
      <c r="B52" t="s">
        <v>295</v>
      </c>
      <c r="C52" t="s">
        <v>296</v>
      </c>
      <c r="D52" t="s">
        <v>88</v>
      </c>
      <c r="E52" t="s">
        <v>12</v>
      </c>
      <c r="F52">
        <v>134000</v>
      </c>
      <c r="G52" t="s">
        <v>297</v>
      </c>
      <c r="H52" t="s">
        <v>22</v>
      </c>
      <c r="I52" t="s">
        <v>298</v>
      </c>
      <c r="J52" t="s">
        <v>60</v>
      </c>
      <c r="K52" t="s">
        <v>33</v>
      </c>
    </row>
    <row r="53" spans="1:11" x14ac:dyDescent="0.25">
      <c r="A53">
        <v>74</v>
      </c>
      <c r="B53" t="s">
        <v>299</v>
      </c>
      <c r="C53" t="s">
        <v>300</v>
      </c>
      <c r="D53" t="s">
        <v>74</v>
      </c>
      <c r="E53" t="s">
        <v>20</v>
      </c>
      <c r="F53">
        <v>96800</v>
      </c>
      <c r="G53" t="s">
        <v>42</v>
      </c>
      <c r="H53" t="s">
        <v>82</v>
      </c>
      <c r="I53" t="s">
        <v>301</v>
      </c>
      <c r="J53" t="s">
        <v>115</v>
      </c>
      <c r="K53" t="s">
        <v>16</v>
      </c>
    </row>
    <row r="54" spans="1:11" x14ac:dyDescent="0.25">
      <c r="A54">
        <v>75</v>
      </c>
      <c r="B54" t="s">
        <v>302</v>
      </c>
      <c r="C54" t="s">
        <v>303</v>
      </c>
      <c r="D54" t="s">
        <v>41</v>
      </c>
      <c r="E54" t="s">
        <v>132</v>
      </c>
      <c r="F54">
        <v>131600</v>
      </c>
      <c r="G54" t="s">
        <v>304</v>
      </c>
      <c r="H54" t="s">
        <v>22</v>
      </c>
      <c r="I54" t="s">
        <v>305</v>
      </c>
      <c r="J54" t="s">
        <v>32</v>
      </c>
      <c r="K54" t="s">
        <v>63</v>
      </c>
    </row>
    <row r="55" spans="1:11" x14ac:dyDescent="0.25">
      <c r="A55">
        <v>76</v>
      </c>
      <c r="B55" t="s">
        <v>306</v>
      </c>
      <c r="C55" t="s">
        <v>307</v>
      </c>
      <c r="D55" t="s">
        <v>61</v>
      </c>
      <c r="E55" t="s">
        <v>28</v>
      </c>
      <c r="F55">
        <v>94300</v>
      </c>
      <c r="G55" t="s">
        <v>308</v>
      </c>
      <c r="H55" t="s">
        <v>36</v>
      </c>
      <c r="I55" t="s">
        <v>309</v>
      </c>
      <c r="J55" t="s">
        <v>184</v>
      </c>
      <c r="K55" t="s">
        <v>16</v>
      </c>
    </row>
    <row r="56" spans="1:11" x14ac:dyDescent="0.25">
      <c r="A56">
        <v>77</v>
      </c>
      <c r="B56" t="s">
        <v>310</v>
      </c>
      <c r="C56" t="s">
        <v>311</v>
      </c>
      <c r="D56" t="s">
        <v>19</v>
      </c>
      <c r="E56" t="s">
        <v>132</v>
      </c>
      <c r="F56">
        <v>242000</v>
      </c>
      <c r="G56" t="s">
        <v>312</v>
      </c>
      <c r="H56" t="s">
        <v>95</v>
      </c>
      <c r="I56" t="s">
        <v>313</v>
      </c>
      <c r="J56" t="s">
        <v>32</v>
      </c>
      <c r="K56" t="s">
        <v>136</v>
      </c>
    </row>
    <row r="57" spans="1:11" x14ac:dyDescent="0.25">
      <c r="A57">
        <v>78</v>
      </c>
      <c r="B57" t="s">
        <v>314</v>
      </c>
      <c r="C57" t="s">
        <v>315</v>
      </c>
      <c r="D57" t="s">
        <v>316</v>
      </c>
      <c r="E57" t="s">
        <v>12</v>
      </c>
      <c r="F57">
        <v>82750</v>
      </c>
      <c r="G57" t="s">
        <v>317</v>
      </c>
      <c r="H57" t="s">
        <v>13</v>
      </c>
      <c r="I57" t="s">
        <v>318</v>
      </c>
      <c r="J57" t="s">
        <v>149</v>
      </c>
      <c r="K57" t="s">
        <v>52</v>
      </c>
    </row>
    <row r="58" spans="1:11" x14ac:dyDescent="0.25">
      <c r="A58">
        <v>79</v>
      </c>
      <c r="B58" t="s">
        <v>319</v>
      </c>
      <c r="C58" t="s">
        <v>320</v>
      </c>
      <c r="D58" t="s">
        <v>131</v>
      </c>
      <c r="E58" t="s">
        <v>321</v>
      </c>
      <c r="F58">
        <v>91300</v>
      </c>
      <c r="G58" t="s">
        <v>42</v>
      </c>
      <c r="H58" t="s">
        <v>22</v>
      </c>
      <c r="I58" t="s">
        <v>322</v>
      </c>
      <c r="J58" t="s">
        <v>45</v>
      </c>
      <c r="K58" t="s">
        <v>16</v>
      </c>
    </row>
    <row r="59" spans="1:11" x14ac:dyDescent="0.25">
      <c r="A59">
        <v>80</v>
      </c>
      <c r="B59" t="s">
        <v>323</v>
      </c>
      <c r="C59" t="s">
        <v>324</v>
      </c>
      <c r="D59" t="s">
        <v>125</v>
      </c>
      <c r="E59" t="s">
        <v>35</v>
      </c>
      <c r="F59">
        <v>79900</v>
      </c>
      <c r="G59" t="s">
        <v>325</v>
      </c>
      <c r="H59" t="s">
        <v>30</v>
      </c>
      <c r="I59" t="s">
        <v>326</v>
      </c>
      <c r="J59" t="s">
        <v>32</v>
      </c>
      <c r="K59" t="s">
        <v>38</v>
      </c>
    </row>
    <row r="60" spans="1:11" x14ac:dyDescent="0.25">
      <c r="A60">
        <v>82</v>
      </c>
      <c r="B60" t="s">
        <v>327</v>
      </c>
      <c r="C60" t="s">
        <v>328</v>
      </c>
      <c r="D60" t="s">
        <v>119</v>
      </c>
      <c r="E60" t="s">
        <v>28</v>
      </c>
      <c r="F60">
        <v>156500</v>
      </c>
      <c r="G60" t="s">
        <v>329</v>
      </c>
      <c r="H60" t="s">
        <v>36</v>
      </c>
      <c r="I60" t="s">
        <v>330</v>
      </c>
      <c r="J60" t="s">
        <v>205</v>
      </c>
      <c r="K60" t="s">
        <v>16</v>
      </c>
    </row>
    <row r="61" spans="1:11" x14ac:dyDescent="0.25">
      <c r="A61">
        <v>83</v>
      </c>
      <c r="B61" t="s">
        <v>331</v>
      </c>
      <c r="C61" t="s">
        <v>332</v>
      </c>
      <c r="D61" t="s">
        <v>182</v>
      </c>
      <c r="E61" t="s">
        <v>132</v>
      </c>
      <c r="F61">
        <v>119900</v>
      </c>
      <c r="G61" t="s">
        <v>333</v>
      </c>
      <c r="H61" t="s">
        <v>58</v>
      </c>
      <c r="I61" t="s">
        <v>334</v>
      </c>
      <c r="J61" t="s">
        <v>77</v>
      </c>
      <c r="K61" t="s">
        <v>38</v>
      </c>
    </row>
    <row r="62" spans="1:11" x14ac:dyDescent="0.25">
      <c r="A62">
        <v>85</v>
      </c>
      <c r="B62" t="s">
        <v>335</v>
      </c>
      <c r="C62" t="s">
        <v>336</v>
      </c>
      <c r="D62" t="s">
        <v>84</v>
      </c>
      <c r="E62" t="s">
        <v>20</v>
      </c>
      <c r="F62">
        <v>224000</v>
      </c>
      <c r="G62" t="s">
        <v>337</v>
      </c>
      <c r="H62" t="s">
        <v>22</v>
      </c>
      <c r="I62" t="s">
        <v>338</v>
      </c>
      <c r="J62" t="s">
        <v>339</v>
      </c>
      <c r="K62" t="s">
        <v>97</v>
      </c>
    </row>
    <row r="63" spans="1:11" x14ac:dyDescent="0.25">
      <c r="A63">
        <v>86</v>
      </c>
      <c r="B63" t="s">
        <v>340</v>
      </c>
      <c r="C63" t="s">
        <v>341</v>
      </c>
      <c r="D63" t="s">
        <v>170</v>
      </c>
      <c r="E63" t="s">
        <v>20</v>
      </c>
      <c r="F63">
        <v>126900</v>
      </c>
      <c r="G63" t="s">
        <v>342</v>
      </c>
      <c r="H63" t="s">
        <v>13</v>
      </c>
      <c r="I63" t="s">
        <v>108</v>
      </c>
      <c r="J63" t="s">
        <v>51</v>
      </c>
      <c r="K63" t="s">
        <v>16</v>
      </c>
    </row>
    <row r="64" spans="1:11" x14ac:dyDescent="0.25">
      <c r="A64">
        <v>87</v>
      </c>
      <c r="B64" t="s">
        <v>343</v>
      </c>
      <c r="C64" t="s">
        <v>344</v>
      </c>
      <c r="D64" t="s">
        <v>144</v>
      </c>
      <c r="E64" t="s">
        <v>28</v>
      </c>
      <c r="F64">
        <v>84500</v>
      </c>
      <c r="G64" t="s">
        <v>345</v>
      </c>
      <c r="H64" t="s">
        <v>43</v>
      </c>
      <c r="I64" t="s">
        <v>90</v>
      </c>
      <c r="J64" t="s">
        <v>45</v>
      </c>
      <c r="K64" t="s">
        <v>38</v>
      </c>
    </row>
    <row r="65" spans="1:11" x14ac:dyDescent="0.25">
      <c r="A65">
        <v>88</v>
      </c>
      <c r="B65" t="s">
        <v>346</v>
      </c>
      <c r="C65" t="s">
        <v>347</v>
      </c>
      <c r="D65" t="s">
        <v>34</v>
      </c>
      <c r="E65" t="s">
        <v>12</v>
      </c>
      <c r="F65">
        <v>69800</v>
      </c>
      <c r="G65" t="s">
        <v>348</v>
      </c>
      <c r="H65" t="s">
        <v>30</v>
      </c>
      <c r="I65" t="s">
        <v>171</v>
      </c>
      <c r="J65" t="s">
        <v>51</v>
      </c>
      <c r="K65" t="s">
        <v>16</v>
      </c>
    </row>
    <row r="66" spans="1:11" x14ac:dyDescent="0.25">
      <c r="A66">
        <v>90</v>
      </c>
      <c r="B66" t="s">
        <v>349</v>
      </c>
      <c r="C66" t="s">
        <v>350</v>
      </c>
      <c r="D66" t="s">
        <v>125</v>
      </c>
      <c r="E66" t="s">
        <v>35</v>
      </c>
      <c r="F66">
        <v>81000</v>
      </c>
      <c r="G66" t="s">
        <v>351</v>
      </c>
      <c r="H66" t="s">
        <v>36</v>
      </c>
      <c r="I66" t="s">
        <v>31</v>
      </c>
      <c r="J66" t="s">
        <v>32</v>
      </c>
      <c r="K66" t="s">
        <v>16</v>
      </c>
    </row>
    <row r="67" spans="1:11" x14ac:dyDescent="0.25">
      <c r="A67">
        <v>91</v>
      </c>
      <c r="B67" t="s">
        <v>352</v>
      </c>
      <c r="C67" t="s">
        <v>353</v>
      </c>
      <c r="D67" t="s">
        <v>11</v>
      </c>
      <c r="E67" t="s">
        <v>28</v>
      </c>
      <c r="F67">
        <v>78900</v>
      </c>
      <c r="G67" t="s">
        <v>354</v>
      </c>
      <c r="H67" t="s">
        <v>68</v>
      </c>
      <c r="I67" t="s">
        <v>23</v>
      </c>
      <c r="J67" t="s">
        <v>24</v>
      </c>
      <c r="K67" t="s">
        <v>52</v>
      </c>
    </row>
    <row r="68" spans="1:11" x14ac:dyDescent="0.25">
      <c r="A68">
        <v>92</v>
      </c>
      <c r="B68" t="s">
        <v>355</v>
      </c>
      <c r="C68" t="s">
        <v>356</v>
      </c>
      <c r="D68" t="s">
        <v>19</v>
      </c>
      <c r="E68" t="s">
        <v>321</v>
      </c>
      <c r="F68">
        <v>249300</v>
      </c>
      <c r="G68" t="s">
        <v>109</v>
      </c>
      <c r="H68" t="s">
        <v>22</v>
      </c>
      <c r="I68" t="s">
        <v>14</v>
      </c>
      <c r="J68" t="s">
        <v>15</v>
      </c>
      <c r="K68" t="s">
        <v>97</v>
      </c>
    </row>
    <row r="69" spans="1:11" x14ac:dyDescent="0.25">
      <c r="A69">
        <v>95</v>
      </c>
      <c r="B69" t="s">
        <v>357</v>
      </c>
      <c r="C69" t="s">
        <v>358</v>
      </c>
      <c r="D69" t="s">
        <v>80</v>
      </c>
      <c r="E69" t="s">
        <v>132</v>
      </c>
      <c r="F69">
        <v>164000</v>
      </c>
      <c r="G69" t="s">
        <v>42</v>
      </c>
      <c r="H69" t="s">
        <v>82</v>
      </c>
      <c r="I69" t="s">
        <v>83</v>
      </c>
      <c r="J69" t="s">
        <v>32</v>
      </c>
      <c r="K69" t="s">
        <v>33</v>
      </c>
    </row>
    <row r="70" spans="1:11" x14ac:dyDescent="0.25">
      <c r="A70">
        <v>96</v>
      </c>
      <c r="B70" t="s">
        <v>359</v>
      </c>
      <c r="C70" t="s">
        <v>360</v>
      </c>
      <c r="D70" t="s">
        <v>187</v>
      </c>
      <c r="E70" t="s">
        <v>20</v>
      </c>
      <c r="F70">
        <v>119000</v>
      </c>
      <c r="G70" t="s">
        <v>361</v>
      </c>
      <c r="H70" t="s">
        <v>13</v>
      </c>
      <c r="I70" t="s">
        <v>362</v>
      </c>
      <c r="J70" t="s">
        <v>45</v>
      </c>
      <c r="K70" t="s">
        <v>16</v>
      </c>
    </row>
    <row r="71" spans="1:11" x14ac:dyDescent="0.25">
      <c r="A71">
        <v>98</v>
      </c>
      <c r="B71" t="s">
        <v>363</v>
      </c>
      <c r="C71" t="s">
        <v>364</v>
      </c>
      <c r="D71" t="s">
        <v>61</v>
      </c>
      <c r="E71" t="s">
        <v>28</v>
      </c>
      <c r="F71">
        <v>96800</v>
      </c>
      <c r="G71" t="s">
        <v>365</v>
      </c>
      <c r="H71" t="s">
        <v>58</v>
      </c>
      <c r="I71" t="s">
        <v>114</v>
      </c>
      <c r="J71" t="s">
        <v>115</v>
      </c>
      <c r="K71" t="s">
        <v>16</v>
      </c>
    </row>
    <row r="72" spans="1:11" x14ac:dyDescent="0.25">
      <c r="A72">
        <v>99</v>
      </c>
      <c r="B72" t="s">
        <v>366</v>
      </c>
      <c r="C72" t="s">
        <v>367</v>
      </c>
      <c r="D72" t="s">
        <v>163</v>
      </c>
      <c r="E72" t="s">
        <v>12</v>
      </c>
      <c r="F72">
        <v>74400</v>
      </c>
      <c r="G72" t="s">
        <v>368</v>
      </c>
      <c r="H72" t="s">
        <v>36</v>
      </c>
      <c r="I72" t="s">
        <v>218</v>
      </c>
      <c r="J72" t="s">
        <v>77</v>
      </c>
      <c r="K72" t="s">
        <v>136</v>
      </c>
    </row>
    <row r="73" spans="1:11" x14ac:dyDescent="0.25">
      <c r="A73">
        <v>100</v>
      </c>
      <c r="B73" t="s">
        <v>369</v>
      </c>
      <c r="C73" t="s">
        <v>220</v>
      </c>
      <c r="D73" t="s">
        <v>139</v>
      </c>
      <c r="E73" t="s">
        <v>132</v>
      </c>
      <c r="F73">
        <v>148500</v>
      </c>
      <c r="G73" t="s">
        <v>370</v>
      </c>
      <c r="H73" t="s">
        <v>95</v>
      </c>
      <c r="I73" t="s">
        <v>102</v>
      </c>
      <c r="J73" t="s">
        <v>103</v>
      </c>
      <c r="K73" t="s">
        <v>16</v>
      </c>
    </row>
    <row r="74" spans="1:11" x14ac:dyDescent="0.25">
      <c r="A74">
        <v>101</v>
      </c>
      <c r="B74" t="s">
        <v>371</v>
      </c>
      <c r="C74" t="s">
        <v>223</v>
      </c>
      <c r="D74" t="s">
        <v>66</v>
      </c>
      <c r="E74" t="s">
        <v>35</v>
      </c>
      <c r="F74">
        <v>71900</v>
      </c>
      <c r="G74" t="s">
        <v>372</v>
      </c>
      <c r="H74" t="s">
        <v>43</v>
      </c>
      <c r="I74" t="s">
        <v>225</v>
      </c>
      <c r="J74" t="s">
        <v>45</v>
      </c>
      <c r="K74" t="s">
        <v>38</v>
      </c>
    </row>
    <row r="75" spans="1:11" x14ac:dyDescent="0.25">
      <c r="A75">
        <v>103</v>
      </c>
      <c r="B75" t="s">
        <v>373</v>
      </c>
      <c r="C75" t="s">
        <v>227</v>
      </c>
      <c r="D75" t="s">
        <v>208</v>
      </c>
      <c r="E75" t="s">
        <v>56</v>
      </c>
      <c r="F75">
        <v>137500</v>
      </c>
      <c r="G75" t="s">
        <v>374</v>
      </c>
      <c r="H75" t="s">
        <v>22</v>
      </c>
      <c r="I75" t="s">
        <v>229</v>
      </c>
      <c r="J75" t="s">
        <v>230</v>
      </c>
      <c r="K75" t="s">
        <v>16</v>
      </c>
    </row>
    <row r="76" spans="1:11" x14ac:dyDescent="0.25">
      <c r="A76">
        <v>104</v>
      </c>
      <c r="B76" t="s">
        <v>375</v>
      </c>
      <c r="C76" t="s">
        <v>232</v>
      </c>
      <c r="D76" t="s">
        <v>93</v>
      </c>
      <c r="E76" t="s">
        <v>132</v>
      </c>
      <c r="F76">
        <v>204800</v>
      </c>
      <c r="G76" t="s">
        <v>376</v>
      </c>
      <c r="H76" t="s">
        <v>13</v>
      </c>
      <c r="I76" t="s">
        <v>235</v>
      </c>
      <c r="J76" t="s">
        <v>236</v>
      </c>
      <c r="K76" t="s">
        <v>38</v>
      </c>
    </row>
    <row r="77" spans="1:11" x14ac:dyDescent="0.25">
      <c r="A77">
        <v>105</v>
      </c>
      <c r="B77" t="s">
        <v>377</v>
      </c>
      <c r="C77" t="s">
        <v>238</v>
      </c>
      <c r="D77" t="s">
        <v>134</v>
      </c>
      <c r="E77" t="s">
        <v>20</v>
      </c>
      <c r="F77">
        <v>271700</v>
      </c>
      <c r="G77" t="s">
        <v>135</v>
      </c>
      <c r="H77" t="s">
        <v>58</v>
      </c>
      <c r="I77" t="s">
        <v>239</v>
      </c>
      <c r="J77" t="s">
        <v>240</v>
      </c>
      <c r="K77" t="s">
        <v>16</v>
      </c>
    </row>
  </sheetData>
  <autoFilter ref="B1:B7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2026-05-08T13:41:58Z</dcterms:created>
  <dcterms:modified xsi:type="dcterms:W3CDTF">2026-10-16T03:30:23Z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